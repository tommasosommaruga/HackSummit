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E projects" sheetId="1" r:id="rId4"/>
    <sheet state="visible" name="Factory" sheetId="2" r:id="rId5"/>
  </sheets>
  <definedNames/>
  <calcPr/>
  <extLst>
    <ext uri="GoogleSheetsCustomDataVersion2">
      <go:sheetsCustomData xmlns:go="http://customooxmlschemas.google.com/" r:id="rId6" roundtripDataChecksum="4FVRnMYc8AYTAns9pAIKE0IFnO12B8WKCpx7/8yQrHQ="/>
    </ext>
  </extLst>
</workbook>
</file>

<file path=xl/sharedStrings.xml><?xml version="1.0" encoding="utf-8"?>
<sst xmlns="http://schemas.openxmlformats.org/spreadsheetml/2006/main" count="1572" uniqueCount="901">
  <si>
    <t>Supplementary table: Summary of global REE projects</t>
  </si>
  <si>
    <t>Project No.</t>
  </si>
  <si>
    <t>Deposit No.</t>
  </si>
  <si>
    <t>Company Name</t>
  </si>
  <si>
    <t>Project Name</t>
  </si>
  <si>
    <t>Location</t>
  </si>
  <si>
    <t>Continent</t>
  </si>
  <si>
    <t xml:space="preserve"> Status (2022), 1: Exploration/ Define resource; 2: Feasibility/ Pre-feasibility; 3: Construction; 4: Production; S: Suspending mining; T: Test of Metallurgical; D: Development licence; N: Not Use</t>
  </si>
  <si>
    <t>Deposit type</t>
  </si>
  <si>
    <t>Resource (*10^4 t, REO, Total)</t>
  </si>
  <si>
    <t>Grade (wt. %)</t>
  </si>
  <si>
    <t>La2O3</t>
  </si>
  <si>
    <t>Ce2O3</t>
  </si>
  <si>
    <t>Pr6O11</t>
  </si>
  <si>
    <t>Nd2O3</t>
  </si>
  <si>
    <t>Sm2O3</t>
  </si>
  <si>
    <t>Eu2O3</t>
  </si>
  <si>
    <t>Gd2O3</t>
  </si>
  <si>
    <t>Tb4O7</t>
  </si>
  <si>
    <t>Dy2O3</t>
  </si>
  <si>
    <t>Ho2O3</t>
  </si>
  <si>
    <t>Er2O3</t>
  </si>
  <si>
    <t>Tm2O3</t>
  </si>
  <si>
    <t>Yb2O3</t>
  </si>
  <si>
    <t>Lu2O3</t>
  </si>
  <si>
    <t>Y2O3</t>
  </si>
  <si>
    <t>HREE percentage</t>
  </si>
  <si>
    <t>REE pattern Ref.</t>
  </si>
  <si>
    <t>Project and status Ref.</t>
  </si>
  <si>
    <t>Deposit type Ref.</t>
  </si>
  <si>
    <t>Resource and grade Ref.</t>
  </si>
  <si>
    <t>Lynas Rare Earths</t>
  </si>
  <si>
    <t>Mount Weld</t>
  </si>
  <si>
    <t>Mount Weld, Australia</t>
  </si>
  <si>
    <t>Australia</t>
  </si>
  <si>
    <t>Carbonatite</t>
  </si>
  <si>
    <t>Paulick and Machacek ,2017</t>
  </si>
  <si>
    <t>Lynas, Annual Report 2021, https://lynasrareearths.com/wp-content/uploads/2021/10/LYC_AR21.pdf</t>
  </si>
  <si>
    <t>Lynas, Lynas Rare Earths Limited CLSA Exploration Access Day, 2022, https://wcsecure.weblink.com.au/pdf/LYC/02528273.pdf</t>
  </si>
  <si>
    <t>MP Materials</t>
  </si>
  <si>
    <t>Mountain Pass</t>
  </si>
  <si>
    <t>Central Mojave Desert, California, America</t>
  </si>
  <si>
    <t>North America</t>
  </si>
  <si>
    <t>https://mpmaterials.com/about/</t>
  </si>
  <si>
    <t>Long, K.R., Van Gosen, B.S., Foley, N.K., and Cordier, Daniel, 2010, The principal rare earth elements deposits of the United States—A summary of domestic deposits and a global perspective: U.S. Geological Survey Scientific Investigations Report 2010–5220, 96 p. Available at http://pubs.usgs.gov/sir/2010/5220/.</t>
  </si>
  <si>
    <t>Iluka Resources Limited</t>
  </si>
  <si>
    <t>Eneabba</t>
  </si>
  <si>
    <t>Eneabba, Western Australia, Australia</t>
  </si>
  <si>
    <t>Placer</t>
  </si>
  <si>
    <t>Jaireth et al., 2014, OGR</t>
  </si>
  <si>
    <t>ILUKA, ENEABBA MINERAL SANDS RECOVERY PROJECT ORE RESERVE ESTIMATE,2020, https://iluka.com/CMSPages/GetFile.aspx?guid=c9d5a86b-029e-47b7-873c-a88fd4f26123</t>
  </si>
  <si>
    <r>
      <rPr>
        <rFont val="Times New Roman"/>
        <color theme="1"/>
        <sz val="11.0"/>
      </rPr>
      <t>WIM100 (Wimmera</t>
    </r>
    <r>
      <rPr>
        <rFont val="宋体"/>
        <color theme="1"/>
        <sz val="11.0"/>
      </rPr>
      <t>、</t>
    </r>
    <r>
      <rPr>
        <rFont val="Times New Roman"/>
        <color theme="1"/>
        <sz val="11.0"/>
      </rPr>
      <t>Mallee)</t>
    </r>
  </si>
  <si>
    <t>Wimmera &amp; Mallee,Western Australia, Australia</t>
  </si>
  <si>
    <t>https://iluka.com/operations-resource-development/resource-development/wimmera</t>
  </si>
  <si>
    <t>Australian Strategic Materials</t>
  </si>
  <si>
    <t>Dubbo (Toongi)</t>
  </si>
  <si>
    <t>Dubbo, New South Wales, Australia</t>
  </si>
  <si>
    <t>4(2022)</t>
  </si>
  <si>
    <t>Alkaline rock</t>
  </si>
  <si>
    <t>Paulick, H., &amp; Machacek, E. (2017). The global rare earth element exploration boom: An analysis of resources outside of China and discussion of development perspectives. Resources Policy, 52, 134-153.</t>
  </si>
  <si>
    <t>https://asm-au.com/dubbo-project-overview/resources-and-reserves/</t>
  </si>
  <si>
    <t>Spandler, C., &amp; Morris, C. (2016). Geology and genesis of the Toongi rare metal (Zr, Hf, Nb, Ta, Y and REE) deposit, NSW, Australia, and implications for rare metal mineralization in peralkaline igneous rocks. Contributions to Mineralogy and Petrology, 171(12), 1-24.</t>
  </si>
  <si>
    <t>Australian Strategic Materials, Annual Report 2021, https://www.asx.com.au/asxpdf/20211022/pdf/45203ydmw38kk0.pdf</t>
  </si>
  <si>
    <t>Greenland Minerals Limited</t>
  </si>
  <si>
    <t>Kvanefjeld (Ilimaussaq:Kvanefjeld, Zone 3, Sørensen)</t>
  </si>
  <si>
    <t>Narsaq, Greenland</t>
  </si>
  <si>
    <t>Greenland</t>
  </si>
  <si>
    <r>
      <rPr>
        <rFont val="Times New Roman"/>
        <color theme="1"/>
        <sz val="11.0"/>
      </rPr>
      <t>https://ggg.gl/project/geology-and-resource/</t>
    </r>
    <r>
      <rPr>
        <rFont val="等线"/>
        <color theme="1"/>
        <sz val="11.0"/>
      </rPr>
      <t>；</t>
    </r>
    <r>
      <rPr>
        <rFont val="Times New Roman"/>
        <color theme="1"/>
        <sz val="11.0"/>
      </rPr>
      <t>Positioning Greenland To Be A Major International Rare Earth Supplier</t>
    </r>
  </si>
  <si>
    <t>https://ggg.gl/project/geology-and-resource/</t>
  </si>
  <si>
    <t>Greenland Minerals Limited, Positioning Greenland To Be A Major International Rare Earth Supplier ASX: GGG PDAC – 202, 2020, https://ggg.gl/mineral-resources-and-ore-reserves/</t>
  </si>
  <si>
    <t>Pensana Rare Earths Plc</t>
  </si>
  <si>
    <t>Coola</t>
  </si>
  <si>
    <t>Longonjo, Angola</t>
  </si>
  <si>
    <t>Africa</t>
  </si>
  <si>
    <t>Pensana Plc, interim results for the six months ended 31 December 2020, https://pensana.co.uk/wp-content/uploads/2021/04/Pensana-HYR-31-Dec-2020-Interims-for-release_FINAL.pdf</t>
  </si>
  <si>
    <t>Pensana Rare Earths Plc, LSE Admission July 2020, https://pensana.co.uk/wp-content/uploads/2020/08/LSE_Admission_July2020.pdf</t>
  </si>
  <si>
    <t>Longonjo</t>
  </si>
  <si>
    <r>
      <rPr>
        <rFont val="Times New Roman"/>
        <color theme="1"/>
        <sz val="11.0"/>
      </rPr>
      <t>1, 3(2021), 4(2022)</t>
    </r>
  </si>
  <si>
    <t>Preliminary Feasibility Study, 2019.11.15</t>
  </si>
  <si>
    <r>
      <rPr>
        <rFont val="Times New Roman"/>
        <color theme="1"/>
        <sz val="11.0"/>
      </rPr>
      <t>Pensana Rare Earths Plc, LSE Admission July 2020, https://pensana.co.uk/wp-content/uploads/2020/08/LSE_Admission_July2020.pdf</t>
    </r>
    <r>
      <rPr>
        <rFont val="宋体"/>
        <color theme="1"/>
        <sz val="11.0"/>
      </rPr>
      <t>；</t>
    </r>
    <r>
      <rPr>
        <rFont val="Times New Roman"/>
        <color theme="1"/>
        <sz val="11.0"/>
      </rPr>
      <t>Commencing development of the world’s first Freeport rare earth processing hub</t>
    </r>
  </si>
  <si>
    <t>Chemours</t>
  </si>
  <si>
    <t>Georgia</t>
  </si>
  <si>
    <t>Southeastern America</t>
  </si>
  <si>
    <t>https://www.energyfuels.com/2021-07-07-Energy-Fuels-and-Neo-Performance-Materials-Announce-Contract-Signing-and-Launch-of-Commercial-Shipments-of-Rare-Earth-Product-to-Europe-in-Emerging-U-S-Based-Rare-Earth-Supply-Chain</t>
  </si>
  <si>
    <t>Energy Fuels</t>
  </si>
  <si>
    <t>Bahia Project</t>
  </si>
  <si>
    <t xml:space="preserve">Bahia, Brazil </t>
  </si>
  <si>
    <t>South America</t>
  </si>
  <si>
    <t>https://www.energyfuels.com/2022-05-19-Energy-Fuels-Secures-Major-Rare-Earth-Land-Position-in-Brazil#assets_all</t>
  </si>
  <si>
    <t>Tanbreez Mining Greenland AS</t>
  </si>
  <si>
    <t>Tanbreez/Kringlerne</t>
  </si>
  <si>
    <t>Kujalleq, Greenland</t>
  </si>
  <si>
    <r>
      <rPr>
        <rFont val="Times New Roman"/>
        <color theme="1"/>
        <sz val="11.0"/>
      </rPr>
      <t>2, D(2020)</t>
    </r>
  </si>
  <si>
    <t>https://news.91jinshu.com/xitu/202008/19078.html; http://tanbreez.com/en/construction-phase/</t>
  </si>
  <si>
    <t>Tanbreez Mining Greenland AS, Presentation at PDAC March 2018</t>
  </si>
  <si>
    <t>Leading Edge Materials</t>
  </si>
  <si>
    <t>Norra Kärr</t>
  </si>
  <si>
    <t>Gränna, south central sweden</t>
  </si>
  <si>
    <t>Europe</t>
  </si>
  <si>
    <r>
      <rPr>
        <rFont val="Times New Roman"/>
        <color theme="1"/>
        <sz val="11.0"/>
      </rPr>
      <t>Balomenos, E., Davris, P., Deady, E., Yang, J., Panias, D., Friedrich, B., ... &amp; Paspaliaris, I. (2017). The EURARE project: Development of a sustainable exploitation scheme for Europe’s Rare Earth Ore deposits. </t>
    </r>
    <r>
      <rPr>
        <rFont val="Times New Roman"/>
        <i/>
        <color theme="1"/>
        <sz val="11.0"/>
      </rPr>
      <t>Johnson Matthey Technology Review</t>
    </r>
    <r>
      <rPr>
        <rFont val="Times New Roman"/>
        <color theme="1"/>
        <sz val="11.0"/>
      </rPr>
      <t>, </t>
    </r>
    <r>
      <rPr>
        <rFont val="Times New Roman"/>
        <i/>
        <color theme="1"/>
        <sz val="11.0"/>
      </rPr>
      <t>61</t>
    </r>
    <r>
      <rPr>
        <rFont val="Times New Roman"/>
        <color theme="1"/>
        <sz val="11.0"/>
      </rPr>
      <t>(2), 142-153.
https://leadingedgematerials.com/norra-karr/</t>
    </r>
  </si>
  <si>
    <r>
      <rPr>
        <rFont val="Times New Roman"/>
        <color theme="1"/>
        <sz val="11.0"/>
      </rPr>
      <t>Balomenos, E., Davris, P., Deady, E., Yang, J., Panias, D., Friedrich, B., ... &amp; Paspaliaris, I. (2017). The EURARE project: Development of a sustainable exploitation scheme for Europe’s Rare Earth Ore deposits. </t>
    </r>
    <r>
      <rPr>
        <rFont val="Times New Roman"/>
        <i/>
        <color theme="1"/>
        <sz val="11.0"/>
      </rPr>
      <t>Johnson Matthey Technology Review</t>
    </r>
    <r>
      <rPr>
        <rFont val="Times New Roman"/>
        <color theme="1"/>
        <sz val="11.0"/>
      </rPr>
      <t>, </t>
    </r>
    <r>
      <rPr>
        <rFont val="Times New Roman"/>
        <i/>
        <color theme="1"/>
        <sz val="11.0"/>
      </rPr>
      <t>61</t>
    </r>
    <r>
      <rPr>
        <rFont val="Times New Roman"/>
        <color theme="1"/>
        <sz val="11.0"/>
      </rPr>
      <t>(2), 142-153.
https://leadingedgematerials.com/norra-karr/</t>
    </r>
  </si>
  <si>
    <t>GBM, Amended &amp; Restated Prefeasibility Study-NI 43-101-Technical report for the Norra Kärr Rare Earth Element Deposit, 2015, https://leadingedgematerials.com/wp-content/uploads/2016/08/Norra-Karr_PFS_43-101-.pdf</t>
  </si>
  <si>
    <t>Olserum</t>
  </si>
  <si>
    <t>south central sweden</t>
  </si>
  <si>
    <t>T</t>
  </si>
  <si>
    <t>Hydrothermal/IOCG</t>
  </si>
  <si>
    <t>Geological Survey of Sweden, United Nations Framework Classification for Resources Case Study: Rare Earth Elements, Exploration Prospects and Secondary Resourcesin Sweden, https://unece.org/sites/default/files/2022-05/ECE_ENERGY_GE.3_2022_12.pdf</t>
  </si>
  <si>
    <t>REE Minerals Holding AS</t>
  </si>
  <si>
    <t>Fen</t>
  </si>
  <si>
    <t>southern norway</t>
  </si>
  <si>
    <t>MARIEN et al., 2018</t>
  </si>
  <si>
    <r>
      <rPr>
        <rFont val="Times New Roman"/>
        <color theme="1"/>
        <sz val="11.0"/>
      </rPr>
      <t>Balomenos, E., Davris, P., Deady, E., Yang, J., Panias, D., Friedrich, B., ... &amp; Paspaliaris, I. (2017). The EURARE project: Development of a sustainable exploitation scheme for Europe’s Rare Earth Ore deposits. </t>
    </r>
    <r>
      <rPr>
        <rFont val="Times New Roman"/>
        <i/>
        <color theme="1"/>
        <sz val="11.0"/>
      </rPr>
      <t>Johnson Matthey Technology Review</t>
    </r>
    <r>
      <rPr>
        <rFont val="Times New Roman"/>
        <color theme="1"/>
        <sz val="11.0"/>
      </rPr>
      <t>, </t>
    </r>
    <r>
      <rPr>
        <rFont val="Times New Roman"/>
        <i/>
        <color theme="1"/>
        <sz val="11.0"/>
      </rPr>
      <t>61</t>
    </r>
    <r>
      <rPr>
        <rFont val="Times New Roman"/>
        <color theme="1"/>
        <sz val="11.0"/>
      </rPr>
      <t>(2), 142-153.</t>
    </r>
  </si>
  <si>
    <r>
      <rPr>
        <rFont val="Times New Roman"/>
        <color theme="1"/>
        <sz val="11.0"/>
      </rPr>
      <t>Balomenos, E., Davris, P., Deady, E., Yang, J., Panias, D., Friedrich, B., ... &amp; Paspaliaris, I. (2017). The EURARE project: Development of a sustainable exploitation scheme for Europe’s Rare Earth Ore deposits. </t>
    </r>
    <r>
      <rPr>
        <rFont val="Times New Roman"/>
        <i/>
        <color theme="1"/>
        <sz val="11.0"/>
      </rPr>
      <t>Johnson Matthey Technology Review</t>
    </r>
    <r>
      <rPr>
        <rFont val="Times New Roman"/>
        <color theme="1"/>
        <sz val="11.0"/>
      </rPr>
      <t>, </t>
    </r>
    <r>
      <rPr>
        <rFont val="Times New Roman"/>
        <i/>
        <color theme="1"/>
        <sz val="11.0"/>
      </rPr>
      <t>61</t>
    </r>
    <r>
      <rPr>
        <rFont val="Times New Roman"/>
        <color theme="1"/>
        <sz val="11.0"/>
      </rPr>
      <t>(2), 142-153.</t>
    </r>
  </si>
  <si>
    <t>Balomenos, E., Davris, P., Deady, E., Yang, J., Panias, D., Friedrich, B., ... &amp; Paspaliaris, I. (2017). The EURARE project: Development of a sustainable exploitation scheme for Europe’s Rare Earth Ore deposits. Johnson Matthey Technology Review, 61(2), 142-153.</t>
  </si>
  <si>
    <t>AMR Mineral Metal Inc</t>
  </si>
  <si>
    <t>Aksu Diamas</t>
  </si>
  <si>
    <t>Eastern Turkey</t>
  </si>
  <si>
    <t>Asia</t>
  </si>
  <si>
    <t>Deady, E., Lacinska, A., Goodenough, K. M., Shaw, R. A., &amp; Roberts, N. M. (2019). Volcanic-derived placers as a potential resource of rare earth elements: the Aksu Diamas case study, Turkey. Minerals, 9(4), 208.</t>
  </si>
  <si>
    <t>Vital Metals</t>
  </si>
  <si>
    <t>Nechalacho/Thor Lak</t>
  </si>
  <si>
    <t>Thor lake, Canada</t>
  </si>
  <si>
    <t>http://www.cre-ol.com/newsitem/278403394</t>
  </si>
  <si>
    <t>Timofeev, A., &amp; Williams-Jones, A. E. (2015). The origin of niobium and tantalum mineralization in the Nechalacho REE Deposit, NWT, Canada. Economic Geology, 110(7), 1719-1735.</t>
  </si>
  <si>
    <t>Vital Metals Limited, 2019, https://vitalmetals.com.au/resources/</t>
  </si>
  <si>
    <t>Wigu Hill</t>
  </si>
  <si>
    <t>Morogoro Region, Tanzania</t>
  </si>
  <si>
    <t>D</t>
  </si>
  <si>
    <t>https://vitalmetals.com.au/portfolio/wigu-hill-project/</t>
  </si>
  <si>
    <t>Vital Metals Limited, https://vitalmetals.com.au/portfolio/wigu-hill-project/</t>
  </si>
  <si>
    <t>Kipawa (Zeus)</t>
  </si>
  <si>
    <t>Zeus property, Canada</t>
  </si>
  <si>
    <t>S</t>
  </si>
  <si>
    <t>Roche NI 43-101 Report, 2013</t>
  </si>
  <si>
    <t>https://www.dropbox.com/s/tgzcn597zjil9z8/061623.003-FinRep_Matamec-NI43-101-20131017-001-Appen.pdf?dl=0</t>
  </si>
  <si>
    <t>ROCHE, GENIVR, and Golder Associates, Feasibility study for the kipawa projects, Temiscamingue area, Québec, Canada, 2013</t>
  </si>
  <si>
    <t>Peak Resources</t>
  </si>
  <si>
    <t>Ngualla</t>
  </si>
  <si>
    <t>southern Tanzania</t>
  </si>
  <si>
    <t>C(2022)</t>
  </si>
  <si>
    <t>https://peakrareearths.com/ngualla-project/</t>
  </si>
  <si>
    <t>Witt, W. K., Hammond, D. P., &amp; Hughes, M. (2019). Geology of the Ngualla carbonatite complex, Tanzania, and origin of the Weathered Bastnaesite Zone REE ore. Ore Geology Reviews, 105, 28-54.</t>
  </si>
  <si>
    <t>Namibia Critical Metals Inc.</t>
  </si>
  <si>
    <t>Lofda</t>
  </si>
  <si>
    <t>northwest of Horixas town, Namibia</t>
  </si>
  <si>
    <r>
      <rPr>
        <rFont val="Times New Roman"/>
        <color theme="1"/>
        <sz val="11.0"/>
      </rPr>
      <t>https://www.chinascrap.com/news/detail?id=93891</t>
    </r>
    <r>
      <rPr>
        <rFont val="宋体"/>
        <color theme="1"/>
        <sz val="11.0"/>
      </rPr>
      <t>；</t>
    </r>
    <r>
      <rPr>
        <rFont val="Times New Roman"/>
        <color theme="1"/>
        <sz val="11.0"/>
      </rPr>
      <t>NI 43-101 Technical Report – NMI Lofdal Heavy Rare Earth Project Namibia</t>
    </r>
  </si>
  <si>
    <t>https://www.namibiacriticalmetals.com/projects/lofdal-heavy-rare-earths-project</t>
  </si>
  <si>
    <t>Otjiwarango</t>
  </si>
  <si>
    <t>Otjiwarongo, Namibia</t>
  </si>
  <si>
    <t>https://www.namibiacriticalmetals.com/project-portfolio</t>
  </si>
  <si>
    <t>Northern Minerals Limited</t>
  </si>
  <si>
    <t>Browns Range (Wolverine)</t>
  </si>
  <si>
    <t>Tanami, Australia</t>
  </si>
  <si>
    <t>https://northernminerals.com.au/browns-range/resource-and-exploration/</t>
  </si>
  <si>
    <t>Morin-Ka, S., Beardsmore, T. J., Hancock, E. A., Rasmussen, B., Dunkley, D., Zi, J., ... &amp; Chapman, J. (2016). Alteration and age of the Browns Range heavy rare earth element deposits. GSWA 2016 Extended Abstracts: Promoting the Prospectivity of Western Australia: Geological Survey of Western Australia Record, 2, 21-25.</t>
  </si>
  <si>
    <t>Browns Range (Gambit)</t>
  </si>
  <si>
    <t>Browns Range (Gambit West)</t>
  </si>
  <si>
    <t>Browns Range (Area 5)</t>
  </si>
  <si>
    <t>Browns Range (Cyclops)</t>
  </si>
  <si>
    <t>Browns Range (Banshee)</t>
  </si>
  <si>
    <t>Browns Range (Dazzler)</t>
  </si>
  <si>
    <t>John Galt</t>
  </si>
  <si>
    <t>East Kimberley, Australia</t>
  </si>
  <si>
    <t>1&amp;T</t>
  </si>
  <si>
    <t>https://northernminerals.com.au/john-galt/</t>
  </si>
  <si>
    <t>Boulder Ridge</t>
  </si>
  <si>
    <t>https://northernminerals.com.au/boulder-ridge/</t>
  </si>
  <si>
    <t>Nazari-Dehkordi, T., Spandler, C., Oliver, N. H., &amp; Wilson, R. (2018). Unconformity-related rare earth element deposits: a regional-scale hydrothermal mineralization type of Northern Australia. Economic Geology, 113(6), 1297-1305.</t>
  </si>
  <si>
    <t>Texas Mineral Resources Corp.
USA Rare Earth LLC</t>
  </si>
  <si>
    <t>Round Top (Sierra Blanca)</t>
  </si>
  <si>
    <t>Hazpeth County, Texas, America</t>
  </si>
  <si>
    <t>Rhyolite</t>
  </si>
  <si>
    <t>http://tmrcorp.com/news/press_releases/index.php?content_id=239</t>
  </si>
  <si>
    <r>
      <rPr>
        <rFont val="Times New Roman"/>
        <color theme="1"/>
        <sz val="11.0"/>
      </rPr>
      <t>http://tmrcorp.com/projects/rare_earths/geology/; O'Neill, L. C. (2014). REE-Be-UF Mineralization of the Round Top Laccolith, Sierra Blanca Peaks, Trans-Pecos Texas (Doctoral dissertation)</t>
    </r>
    <r>
      <rPr>
        <rFont val="等线"/>
        <color theme="1"/>
        <sz val="11.0"/>
      </rPr>
      <t>；</t>
    </r>
    <r>
      <rPr>
        <rFont val="Times New Roman"/>
        <color theme="1"/>
        <sz val="11.0"/>
      </rPr>
      <t>RAINBOW RARE EARTHS PRESENTATION2021.5</t>
    </r>
  </si>
  <si>
    <t>ARAFURA RESOURCES</t>
  </si>
  <si>
    <t>Nolans</t>
  </si>
  <si>
    <t>Nolans, Australia</t>
  </si>
  <si>
    <t>https://www.chinascrap.com/news/detail?id=93891</t>
  </si>
  <si>
    <t>Schoneveld, L., Spandler, C., &amp; Hussey, K. (2015). Genesis of the central zone of the Nolans Bore rare earth element deposit, Northern Territory, Australia. Contributions to Mineralogy and Petrology, 170(2), 1-22.</t>
  </si>
  <si>
    <t>Ucore Rare Metals Inc., https://www.arultd.com/projects/nolans.html#nolans-img</t>
  </si>
  <si>
    <t>Ucore Rare Metals Inc.</t>
  </si>
  <si>
    <t>BokanMountain (Bokan-Dotson Ridge)</t>
  </si>
  <si>
    <t>Southeast Ketchikan, Alaska, America</t>
  </si>
  <si>
    <t>Alkaline granite</t>
  </si>
  <si>
    <t>PRELIMINARY ECONOMIC ASSESSMENT ON THE BOKAN MOUNTAIN RARE EARTH ELEMENT PROJECT, NEAR KETCHIKAN, ALASKA</t>
  </si>
  <si>
    <t>Bentzen, E. H., Hassan, G., Galbraith, L., Hammen, R. F., Robinson, R. J., Hafez, S. A., &amp; Annavarapu, S. (2013). Preliminary Economic Assessment on the Bokan Mountain Rare Earth Element Project near ketchikan. Alaska, Tetra Tech, https://ucore.com/docs/PEA.pdf</t>
  </si>
  <si>
    <t>Torngat Metals Limited</t>
  </si>
  <si>
    <t>Strange Lake</t>
  </si>
  <si>
    <t>Nunavik, Quebec, Canada</t>
  </si>
  <si>
    <t>2, 4(2024)</t>
  </si>
  <si>
    <t>Alkaline/Alkaline granite</t>
  </si>
  <si>
    <r>
      <rPr>
        <rFont val="Times New Roman"/>
        <color theme="1"/>
        <sz val="11.0"/>
      </rPr>
      <t>https://www.chinascrap.com/news/detail?id=93891</t>
    </r>
    <r>
      <rPr>
        <rFont val="等线"/>
        <color theme="1"/>
        <sz val="11.0"/>
      </rPr>
      <t>；</t>
    </r>
    <r>
      <rPr>
        <rFont val="Times New Roman"/>
        <color theme="1"/>
        <sz val="11.0"/>
      </rPr>
      <t>https://www.micon-international.com/torngat-metals-ltd</t>
    </r>
  </si>
  <si>
    <t>https://miningdataonline.com/property/1598/Strange-Lake-Project.aspx</t>
  </si>
  <si>
    <t>Serra Verde mineracao</t>
  </si>
  <si>
    <t>Serra Verde</t>
  </si>
  <si>
    <t>Minasu County, Goias, Brazil</t>
  </si>
  <si>
    <t>2,4(2021)</t>
  </si>
  <si>
    <t>Ionic Clay</t>
  </si>
  <si>
    <t>https://svpm.com.br/home</t>
  </si>
  <si>
    <t>https://web.b.ebscohost.com/abstract?site=ehost&amp;scope=site&amp;jrnl=10297006&amp;AN=140489001&amp;h=iMEJBANssRczjPx%2f%2bblQPTgxFVsmnIwqlvL9FqZebPvnSOl7JKgwi7WYg4g%2bfB1fUFXGpK2mNh0fopzLi9XC1Q%3d%3d&amp;crl=c&amp;resultLocal=ErrCrlNoResults&amp;resultNs=Ehost&amp;crlhashurl=login.aspx%3fdirect%3dtrue%26profile%3dehost%26scope%3dsite%26authtype%3dcrawler%26jrnl%3d10297006%26AN%3d140489001</t>
  </si>
  <si>
    <t>Serra Verde, 2015, https://www.cetem.gov.br/antigo/images/palestras/2015/iiisbtr/05-denilson-fonseca.pdf</t>
  </si>
  <si>
    <t>ACDC Metals Pty Ltd</t>
  </si>
  <si>
    <t>Monazite Sand</t>
  </si>
  <si>
    <t>Murray Basin, Australia</t>
  </si>
  <si>
    <t>https://medallionresources.com/2021/07/loi-partnership-medallion-monazite-process-se-australia/</t>
  </si>
  <si>
    <t>Rare Element Resources Ltd</t>
  </si>
  <si>
    <t>Bear Lodge</t>
  </si>
  <si>
    <t>Benoji Mountains, Wyoming, America</t>
  </si>
  <si>
    <t>T,3(2023)</t>
  </si>
  <si>
    <t>June 2021 Corporate Presentation（http://www.rareelementresources.com/investor-information/presentations#.YP56aOgzYdU）</t>
  </si>
  <si>
    <r>
      <rPr>
        <rFont val="Times New Roman"/>
        <color theme="1"/>
        <sz val="11.0"/>
      </rPr>
      <t>June 2021 Corporate Presentation</t>
    </r>
    <r>
      <rPr>
        <rFont val="宋体"/>
        <color theme="1"/>
        <sz val="11.0"/>
      </rPr>
      <t>（</t>
    </r>
    <r>
      <rPr>
        <rFont val="Times New Roman"/>
        <color theme="1"/>
        <sz val="11.0"/>
      </rPr>
      <t>http://www.rareelementresources.com/investor-information/presentations#.YP56aOgzYdU</t>
    </r>
    <r>
      <rPr>
        <rFont val="宋体"/>
        <color theme="1"/>
        <sz val="11.0"/>
      </rPr>
      <t>）</t>
    </r>
  </si>
  <si>
    <t>http://www.rareelementresources.com/bear-lodge-project#.YP6ECegzYdU</t>
  </si>
  <si>
    <t>RareX</t>
  </si>
  <si>
    <t>Cummins Range</t>
  </si>
  <si>
    <t>Kimberley Region, Western Australia, Australia</t>
  </si>
  <si>
    <r>
      <rPr>
        <rFont val="Times New Roman"/>
        <color theme="1"/>
        <sz val="11.0"/>
      </rPr>
      <t>1, 2(2021)</t>
    </r>
  </si>
  <si>
    <t>Paulick and Machacek</t>
  </si>
  <si>
    <t>http://roskill.cn/Index/news/id/1010</t>
  </si>
  <si>
    <t>RareX, RAREX DELIVERS MAJOR RESOURCE UPGRADE AT CUMMINS RANGE RARE EARTHS PROJECT, WA, 2021, https://wcsecure.weblink.com.au/pdf/REE/02396566.pdf</t>
  </si>
  <si>
    <t>Hasting Technology Metals</t>
  </si>
  <si>
    <t>Yangibana (Gifford Creek)</t>
  </si>
  <si>
    <t>Gascoyne Region, Western Australia, Australia</t>
  </si>
  <si>
    <t>3,4(2024)</t>
  </si>
  <si>
    <t>Slezak et al., 2020</t>
  </si>
  <si>
    <r>
      <rPr>
        <rFont val="Times New Roman"/>
        <color theme="1"/>
        <sz val="11.0"/>
      </rPr>
      <t>https://hastingstechmetals.com/projects/yangibana/</t>
    </r>
    <r>
      <rPr>
        <rFont val="等线"/>
        <color theme="1"/>
        <sz val="11.0"/>
      </rPr>
      <t>；</t>
    </r>
    <r>
      <rPr>
        <rFont val="Times New Roman"/>
        <color theme="1"/>
        <sz val="11.0"/>
      </rPr>
      <t>29 Apr 2021 Quarterly Activities Report</t>
    </r>
  </si>
  <si>
    <t>Hastings Technology Metals Limited, Investor Presentation, 2021, https://www.investi.com.au/api/announcements/has/bb2da2ab-afa.pdf</t>
  </si>
  <si>
    <t>Brockman</t>
  </si>
  <si>
    <t>Taylor et al., 1995</t>
  </si>
  <si>
    <t>https://hastingstechmetals.com/projects/brockman/</t>
  </si>
  <si>
    <t>Krakatoa resources LTD.</t>
  </si>
  <si>
    <t>Mt Clere</t>
  </si>
  <si>
    <t>Gascoyne, Western Australia</t>
  </si>
  <si>
    <t>Carbonatite/ Ionic Clay/ Monazite sands</t>
  </si>
  <si>
    <t>https://thewest.com.au/business/public-companies/frontier-snags-rare-earths-near-world-class-deposit-c-4745936</t>
  </si>
  <si>
    <t>https://www.ktaresources.com/mt-clere-rare-earth-project/</t>
  </si>
  <si>
    <t>Rand</t>
  </si>
  <si>
    <t>New south wales, Australia</t>
  </si>
  <si>
    <t>1(2022)</t>
  </si>
  <si>
    <t>https://www.ktaresources.com/presentations/</t>
  </si>
  <si>
    <t>Lanthanein Resources (Frontier Resources LTD)</t>
  </si>
  <si>
    <t>Gascoyne (Edmund &amp; Lyons)</t>
  </si>
  <si>
    <t>Gascoyne, Australia</t>
  </si>
  <si>
    <t>1, 4(2023)</t>
  </si>
  <si>
    <t>https://newswire.iguana2.com/af5f4d73c1a54a33/lnr.asx/6A1092535/LNR_Company_Name_Change_New_ASX_Code_LNR</t>
  </si>
  <si>
    <t>Murraydium</t>
  </si>
  <si>
    <t>Southeastern South Australia and Western Victoria, Australia</t>
  </si>
  <si>
    <t>http://www.lanthanein.com/projects/murraydium/</t>
  </si>
  <si>
    <t>Eastern Gascoyne Province, Australia</t>
  </si>
  <si>
    <t>http://www.lanthanein.com/projects/mt-clere/</t>
  </si>
  <si>
    <t>Kingfisher Mining</t>
  </si>
  <si>
    <t>Kingfisher</t>
  </si>
  <si>
    <t>https://kingfishermining.com.au/gascoyne/</t>
  </si>
  <si>
    <t xml:space="preserve">Mick Well </t>
  </si>
  <si>
    <t>https://kingfishermining.com.au/projects/</t>
  </si>
  <si>
    <t>Arthur River</t>
  </si>
  <si>
    <t>Dreadnought Resources</t>
  </si>
  <si>
    <t>Mangaroon</t>
  </si>
  <si>
    <t>Mafic-ultramafic Magma</t>
  </si>
  <si>
    <t>https://www.dreadnoughtresources.com.au/project/mangaroon-ni-cu-pge-au-project/</t>
  </si>
  <si>
    <t>Australian Rare Earth LTD.</t>
  </si>
  <si>
    <t>Koppamurra</t>
  </si>
  <si>
    <t>Southeastern South Australia and Western Victoria</t>
  </si>
  <si>
    <t>Australian rare earths' Investor Presentation, 2021, 11</t>
  </si>
  <si>
    <t>Australian Rare Earth LTD., Corporate Presentation July 2021</t>
  </si>
  <si>
    <t>Australian Rare Earth LTD., Koppamurra emerges as a globally significant critical rare earths project with 104% increase in Mineral Resource, 2022, https://ar3.com.au/4-7-22-104-increase-in-mineral-resource-at-koppamurra-project/</t>
  </si>
  <si>
    <t>Resource Base Limited.</t>
  </si>
  <si>
    <t>Miter Hill</t>
  </si>
  <si>
    <t>Victoria, Australia</t>
  </si>
  <si>
    <t>https://resourcebase.com.au/projects/mitre-hill-project/</t>
  </si>
  <si>
    <t>Rainbow Rare Earths</t>
  </si>
  <si>
    <t>Phalaborwa</t>
  </si>
  <si>
    <t>Phalaborwa, South Africa</t>
  </si>
  <si>
    <r>
      <rPr>
        <rFont val="Times New Roman"/>
        <color theme="1"/>
        <sz val="11.0"/>
      </rPr>
      <t>T, 2021(2)</t>
    </r>
  </si>
  <si>
    <t>Rainbow Rare Earths, Corporate-Presentation, 2022, https://www.rainbowrareearths.com/wp-content/uploads/2022/03/2022-03-Rainbow-Corporate-Presentation_v2.pdf</t>
  </si>
  <si>
    <t>Eriksson, S. C. (1984). Age of carbonatite and phoscorite magmatism of the Phalaborwa Complex (South Africa). Chemical geology, 46(4), 291-299.</t>
  </si>
  <si>
    <t>Gakara (Murambi South)</t>
  </si>
  <si>
    <t>Bujumbura, Burundi</t>
  </si>
  <si>
    <t>Buyse et al., 2020</t>
  </si>
  <si>
    <t>Gakara (Gasagwe)</t>
  </si>
  <si>
    <t>4(2017-2019)</t>
  </si>
  <si>
    <t>https://rainbowrareearths.com/wp-content/uploads/2021/01/Exploration-Target.png</t>
  </si>
  <si>
    <t>Gakara (Rusutama)</t>
  </si>
  <si>
    <t>Gakara (Gakara)</t>
  </si>
  <si>
    <t>Gakara (Gomvyi Central)</t>
  </si>
  <si>
    <t>Gakara (Gashirwe West and East)</t>
  </si>
  <si>
    <t>Gakara (Bigugo)</t>
  </si>
  <si>
    <t>Gakara (Gasenyi)</t>
  </si>
  <si>
    <t>Gakara (Kiyenzi)</t>
  </si>
  <si>
    <t>Ionic Rare Earths</t>
  </si>
  <si>
    <t>Makuutu</t>
  </si>
  <si>
    <t>Eastern Kampala, Uganda</t>
  </si>
  <si>
    <t>T, 2(2021)</t>
  </si>
  <si>
    <t>Ionic rare earths limited annual report 2020</t>
  </si>
  <si>
    <t>https://www.listcorp.com/asx/ixr/ionic-rare-earths-limited/news/updated-exploration-target-for-makuutu-rare-earths-2716697.html</t>
  </si>
  <si>
    <t>American rare Earths</t>
  </si>
  <si>
    <t>La Paz</t>
  </si>
  <si>
    <t>La Paz County, Arizona, America</t>
  </si>
  <si>
    <t>Metamorphic rocks (quartz feldspar gneiss), sedimentary layers, basic rock layers</t>
  </si>
  <si>
    <t>https://americanrareearths.com.au/la-paz-rare-earth-project/</t>
  </si>
  <si>
    <t>RAIN11 February 2021 Taylor Collison ReportBOW RARE EARTHS PRESENTATION2021.5</t>
  </si>
  <si>
    <t>https://americanrareearths.com.au/wp-content/uploads/2022/05/20220517-ARR-presentation-2382827.pdf</t>
  </si>
  <si>
    <t>Halleck Creek (Laramie)</t>
  </si>
  <si>
    <t>Albany County, Wyoming, America</t>
  </si>
  <si>
    <r>
      <rPr>
        <rFont val="Times New Roman"/>
        <color theme="1"/>
        <sz val="11.0"/>
      </rPr>
      <t>2020 annual report</t>
    </r>
    <r>
      <rPr>
        <rFont val="宋体"/>
        <color theme="1"/>
        <sz val="11.0"/>
      </rPr>
      <t>；</t>
    </r>
    <r>
      <rPr>
        <rFont val="Times New Roman"/>
        <color theme="1"/>
        <sz val="11.0"/>
      </rPr>
      <t>11 February 2021 Taylor Collison Report</t>
    </r>
    <r>
      <rPr>
        <rFont val="宋体"/>
        <color theme="1"/>
        <sz val="11.0"/>
      </rPr>
      <t>；</t>
    </r>
    <r>
      <rPr>
        <rFont val="Times New Roman"/>
        <color theme="1"/>
        <sz val="11.0"/>
      </rPr>
      <t>High-Grade Surface Sampling from Expanded Halleck Creek Project, TREO averaging &gt;3000 ppm</t>
    </r>
  </si>
  <si>
    <t>11 February 2021 Taylor Collison Report</t>
  </si>
  <si>
    <t>Searchlight Nevada project</t>
  </si>
  <si>
    <t>Nevada, America</t>
  </si>
  <si>
    <t>https://americanrareearths.com.au/wp-content/uploads/2021/10/ARR-Investor-Presentation-October-FINAL.pdf; 11 February 2021 Taylor Collison Report</t>
  </si>
  <si>
    <t>https://americanrareearths.com.au/wp-content/uploads/2021/10/ARR-Investor-Presentation-October-FINAL.pdf</t>
  </si>
  <si>
    <t>Indian Rare Earths Limited</t>
  </si>
  <si>
    <t>Chavara (Kerala)</t>
  </si>
  <si>
    <t>Chavara, Kerala, India</t>
  </si>
  <si>
    <t>Anitha et al., 2020</t>
  </si>
  <si>
    <r>
      <rPr>
        <rFont val="Times New Roman"/>
        <color theme="1"/>
        <sz val="11.0"/>
      </rPr>
      <t>https://www.indiamart.com/indian-rare-earths-ltd-kanyakumari/about-us.html</t>
    </r>
    <r>
      <rPr>
        <rFont val="等线"/>
        <color theme="1"/>
        <sz val="11.0"/>
      </rPr>
      <t>；</t>
    </r>
    <r>
      <rPr>
        <rFont val="Times New Roman"/>
        <color theme="1"/>
        <sz val="11.0"/>
      </rPr>
      <t>https://economictimes.indiatimes.com/company/indian-rare-earths-limited/U15100MH1950GOI008187</t>
    </r>
  </si>
  <si>
    <t>Manvalkurichi</t>
  </si>
  <si>
    <t>Manvalkurichi, Tamil Nadu, India</t>
  </si>
  <si>
    <r>
      <rPr>
        <rFont val="Times New Roman"/>
        <color theme="1"/>
        <sz val="11.0"/>
      </rPr>
      <t>https://www.indiamart.com/indian-rare-earths-ltd-kanyakumari/about-us.html</t>
    </r>
    <r>
      <rPr>
        <rFont val="等线"/>
        <color theme="1"/>
        <sz val="11.0"/>
      </rPr>
      <t>；</t>
    </r>
    <r>
      <rPr>
        <rFont val="Times New Roman"/>
        <color theme="1"/>
        <sz val="11.0"/>
      </rPr>
      <t>https://economictimes.indiatimes.com/company/indian-rare-earths-limited/U15100MH1950GOI008187</t>
    </r>
  </si>
  <si>
    <t>Chhatrapur</t>
  </si>
  <si>
    <t>Chhatrapur, Odisha, India</t>
  </si>
  <si>
    <r>
      <rPr>
        <rFont val="Times New Roman"/>
        <color theme="1"/>
        <sz val="11.0"/>
      </rPr>
      <t>https://www.indiamart.com/indian-rare-earths-ltd-kanyakumari/about-us.html</t>
    </r>
    <r>
      <rPr>
        <rFont val="等线"/>
        <color theme="1"/>
        <sz val="11.0"/>
      </rPr>
      <t>；</t>
    </r>
    <r>
      <rPr>
        <rFont val="Times New Roman"/>
        <color theme="1"/>
        <sz val="11.0"/>
      </rPr>
      <t>https://economictimes.indiatimes.com/company/indian-rare-earths-limited/U15100MH1950GOI008187</t>
    </r>
  </si>
  <si>
    <t xml:space="preserve">Atomic Minerals Directorate (AMD) </t>
  </si>
  <si>
    <t>Amba Dongar</t>
  </si>
  <si>
    <t>Chhota Udepur, Gujarat, India</t>
  </si>
  <si>
    <t>Chandra et al., 2017</t>
  </si>
  <si>
    <t>Krishnamurthy, P. (2020). Rare Metal (RM) and Rare Earth Element (REE) Resources: World Scenario with Special Reference to India. Journal of the Geological Society of India, 95(5).</t>
  </si>
  <si>
    <t>MkangoResources</t>
  </si>
  <si>
    <t>Songwe Hill</t>
  </si>
  <si>
    <t>Southeastern Malawi</t>
  </si>
  <si>
    <t>https://www.mkango.ca/projects/songwe/</t>
  </si>
  <si>
    <t xml:space="preserve">Nkalonje Hill </t>
  </si>
  <si>
    <t>https://www.mkango.ca/projects/exploration/nkalonje-hill/</t>
  </si>
  <si>
    <t xml:space="preserve"> Quantum Minería (QM) company</t>
  </si>
  <si>
    <t>Matamulas</t>
  </si>
  <si>
    <t>Matamuras, Ciudad Real, Spain</t>
  </si>
  <si>
    <t>STRENGTHENING THE EUROPEAN RARE EARTHS SUPPLY-CHAIN Challenges and policy options A REPORT BY THE EUROPEAN RARE EARTHS COMPETENCY NETWORK (ERECON), 2017</t>
  </si>
  <si>
    <t>http://www.interempresas.net/Mineria/Articulos/141759-Tierras-raras-Trabajos-de-investigacion-en-el-yacimiento-de-monacitas-de-Matamulas.html</t>
  </si>
  <si>
    <r>
      <rPr>
        <rFont val="Times New Roman"/>
        <color theme="1"/>
        <sz val="11.0"/>
      </rPr>
      <t>Steenkampskraal Holdings Ltd</t>
    </r>
    <r>
      <rPr>
        <rFont val="宋体"/>
        <color theme="1"/>
        <sz val="11.0"/>
      </rPr>
      <t>（</t>
    </r>
    <r>
      <rPr>
        <rFont val="Times New Roman"/>
        <color theme="1"/>
        <sz val="11.0"/>
      </rPr>
      <t>Steenkampskraal monazite mine (PTY) LTD</t>
    </r>
    <r>
      <rPr>
        <rFont val="宋体"/>
        <color theme="1"/>
        <sz val="11.0"/>
      </rPr>
      <t>）</t>
    </r>
  </si>
  <si>
    <t>Steenkampskraal</t>
  </si>
  <si>
    <t>Western Cape, South Africa</t>
  </si>
  <si>
    <t>Hydrothermal/IOCG (Monazite veins)</t>
  </si>
  <si>
    <t>https://www.steenkampskraal.com/geology/</t>
  </si>
  <si>
    <t>https://www.steenkampskraal.com/the-mine/</t>
  </si>
  <si>
    <t>Idaho Strategic Resources</t>
  </si>
  <si>
    <t>Diamond Creek</t>
  </si>
  <si>
    <t>Eureka Mining district, the town Salmon, Idaho, America</t>
  </si>
  <si>
    <t>Hydrothermal/IOCG (Quartz veins)</t>
  </si>
  <si>
    <t>https://newjerseymining.com/new-jersey-mining-company-provides-second-quarter-results-of-operations-and-corporate-activities/</t>
  </si>
  <si>
    <t>https://newjerseymining.com/diamond-creek/</t>
  </si>
  <si>
    <t>Roberts Rare Earth Element</t>
  </si>
  <si>
    <t>Mineral Hill, the town Salmon, Idaho, America</t>
  </si>
  <si>
    <r>
      <rPr>
        <rFont val="Times New Roman"/>
        <color theme="1"/>
        <sz val="11.0"/>
      </rPr>
      <t>https://newjerseymining.com/roberts/</t>
    </r>
    <r>
      <rPr>
        <rFont val="宋体"/>
        <color theme="1"/>
        <sz val="11.0"/>
      </rPr>
      <t>；</t>
    </r>
    <r>
      <rPr>
        <rFont val="Times New Roman"/>
        <color theme="1"/>
        <sz val="11.0"/>
      </rPr>
      <t>https://newjerseymining.com/new-jersey-mining-co-extensively-expands-its-high-grade-roberts-rare-earth-element-land-package/</t>
    </r>
  </si>
  <si>
    <t>https://newjerseymining.com/roberts/</t>
  </si>
  <si>
    <t>NioCorp Developments</t>
  </si>
  <si>
    <t>Elk Creek</t>
  </si>
  <si>
    <t>Elk Creek, Nebraska, America</t>
  </si>
  <si>
    <t>https://secureservercdn.net/198.71.233.156/gx0.d43.myftpupload.com/wp-content/uploads/NioCorp_Presentation_June-2022.pdf</t>
  </si>
  <si>
    <t>https://www.niocorp.com/niocorp-scores-initial-success-in-metallurgical-testing-of-elk-creek-ore-samples-to-optimize-process-and-demonstrate-potential-extraction-of-rare-earth-elements/</t>
  </si>
  <si>
    <t>MFC Industrial Ltd. &amp;Wings Enterprises&amp;Alberici Constructors%Wings Enterprises</t>
  </si>
  <si>
    <t>Pea Ridge</t>
  </si>
  <si>
    <t>St. Louis, Missouri, America</t>
  </si>
  <si>
    <t>Long et al., 2010, The Principal Rare Earth Elements Deposits of the United States: A Summary of Domestic Deposits and a Global Perspective</t>
  </si>
  <si>
    <t>Mercer, C. N., Watts, K. E., &amp; Gross, J. (2020). Apatite trace element geochemistry and cathodoluminescent textures—A comparison between regional magmatism and the Pea Ridge IOAREE and Boss IOCG deposits, southeastern Missouri iron metallogenic province, USA. Ore Geology Reviews, 116, 103129.</t>
  </si>
  <si>
    <t>The Principal Rare Earth Elements Deposits of the United States—A Summary of Domestic Deposits and a Global Perspective</t>
  </si>
  <si>
    <t>Canada Rare Earth Corporation</t>
  </si>
  <si>
    <t>Red Wine (Two Tom)</t>
  </si>
  <si>
    <t>Central Labrador, Canada</t>
  </si>
  <si>
    <t>http://www.canadarareearth.com/article/welcome-1.asp</t>
  </si>
  <si>
    <t>http://www.canadarareearth.com/redwine</t>
  </si>
  <si>
    <t>Bom Futuro</t>
  </si>
  <si>
    <t>Rondônia, Brazil</t>
  </si>
  <si>
    <t>A type granite</t>
  </si>
  <si>
    <t>GBM Resources Ltd</t>
  </si>
  <si>
    <t>Brightlands Milo</t>
  </si>
  <si>
    <t>North West Mines Province, Queensland, Australia</t>
  </si>
  <si>
    <t>N</t>
  </si>
  <si>
    <t>Hydrothermal/IOCG (Tailings)</t>
  </si>
  <si>
    <r>
      <rPr>
        <rFont val="Times New Roman"/>
        <color theme="1"/>
        <sz val="11.0"/>
      </rPr>
      <t>Hellman, P. L., &amp; Duncan, R. K. (2014). Evaluation of rare earth element deposits. Applied Earth Science, 123(2), 107-117.</t>
    </r>
    <r>
      <rPr>
        <rFont val="宋体"/>
        <color theme="1"/>
        <sz val="11.0"/>
      </rPr>
      <t>；</t>
    </r>
    <r>
      <rPr>
        <rFont val="Times New Roman"/>
        <color theme="1"/>
        <sz val="11.0"/>
      </rPr>
      <t>OIL GEOCHEMISTRY IDENTIFIES FURTHER TARGETS AT MILO IOCG - REE DEPOSIT IN QUEENSLAND</t>
    </r>
  </si>
  <si>
    <r>
      <rPr>
        <rFont val="Times New Roman"/>
        <color theme="1"/>
        <sz val="11.0"/>
      </rPr>
      <t>Hellman, P. L., &amp; Duncan, R. K. (2014). Evaluation of rare earth element deposits. Applied Earth Science, 123(2), 107-117.</t>
    </r>
    <r>
      <rPr>
        <rFont val="宋体"/>
        <color theme="1"/>
        <sz val="11.0"/>
      </rPr>
      <t>；</t>
    </r>
    <r>
      <rPr>
        <rFont val="Times New Roman"/>
        <color theme="1"/>
        <sz val="11.0"/>
      </rPr>
      <t>OIL GEOCHEMISTRY IDENTIFIES FURTHER TARGETS AT MILO IOCG - REE DEPOSIT IN QUEENSLAND</t>
    </r>
  </si>
  <si>
    <t>Commerce Resources Corp</t>
  </si>
  <si>
    <t>Ashram (Eldor)</t>
  </si>
  <si>
    <t>Northern Quebec, Canada</t>
  </si>
  <si>
    <t>https://commerceresources.com/projects/the-ashram-rare-earth-element-and-fluorspar-deposit/maps-figures/</t>
  </si>
  <si>
    <t>https://commerceresources.com/projects/the-ashram-rare-earth-element-and-fluorspar-deposit/</t>
  </si>
  <si>
    <t>Toyota Tsusho &amp; Sojitz Corporation</t>
  </si>
  <si>
    <t>Dongpao</t>
  </si>
  <si>
    <t>Lai Chau, Vietnam</t>
  </si>
  <si>
    <t>Chau et al., 2017, General characteristics of rare earth and radioactive elements in Dong Pao deposit, Lai Chau, Vietnam</t>
  </si>
  <si>
    <t>Moody, M. D. (2013). Mother lode: The untapped rare earth mineral resources of Vietnam. NAVAL WAR COLLEGE NEWPORT RI JOINT MILITARY OPERATIONS DEPT.</t>
  </si>
  <si>
    <t>The Vietnamese government</t>
  </si>
  <si>
    <t>Nam Xe</t>
  </si>
  <si>
    <t>Thi and Wada, 2021, Temporal Emplacement Sequence of the South Nam Xe Carbonatites (Northwest Vietnam)</t>
  </si>
  <si>
    <t>Kazatompro</t>
  </si>
  <si>
    <t>Uranium mine tailings in Kazakhstan</t>
  </si>
  <si>
    <t>Kazakhstan</t>
  </si>
  <si>
    <t>Tailings of Uranium deposit</t>
  </si>
  <si>
    <t>https://www.sohu.com/a/158006064_99913194</t>
  </si>
  <si>
    <r>
      <rPr>
        <rFont val="Times New Roman"/>
        <color theme="1"/>
        <sz val="11.0"/>
      </rPr>
      <t>Thi, T. N., &amp; Wada, H. (2021). Temporal Emplacement Sequence of the South Nam Xe Carbonatites (Northwest Vietnam). </t>
    </r>
    <r>
      <rPr>
        <rFont val="Times New Roman"/>
        <i/>
        <color theme="1"/>
        <sz val="11.0"/>
      </rPr>
      <t>Journal of Geological Resource and Engineering</t>
    </r>
    <r>
      <rPr>
        <rFont val="Times New Roman"/>
        <color theme="1"/>
        <sz val="11.0"/>
      </rPr>
      <t>, </t>
    </r>
    <r>
      <rPr>
        <rFont val="Times New Roman"/>
        <i/>
        <color theme="1"/>
        <sz val="11.0"/>
      </rPr>
      <t>9</t>
    </r>
    <r>
      <rPr>
        <rFont val="Times New Roman"/>
        <color theme="1"/>
        <sz val="11.0"/>
      </rPr>
      <t>, 13-24.</t>
    </r>
  </si>
  <si>
    <t>Appia Energy Corp.</t>
  </si>
  <si>
    <t>Alces Lake</t>
  </si>
  <si>
    <t>Saskatchewan, Canada</t>
  </si>
  <si>
    <t>Biotite enriched Shear zone</t>
  </si>
  <si>
    <t>http://www.appiaenergy.ca/</t>
  </si>
  <si>
    <t>Teasdale (/Elliot Lakea)</t>
  </si>
  <si>
    <t>Elliott Lake Region, Canada</t>
  </si>
  <si>
    <t>Paleo-sedimentary formation</t>
  </si>
  <si>
    <t>http://www.appiaenergy.ca/projects/elliot-lake-property/teasdale-lake-zone/</t>
  </si>
  <si>
    <t>Search minerals Inc.</t>
  </si>
  <si>
    <t>Foxtrot</t>
  </si>
  <si>
    <t>Southeastern Labrador, Canada</t>
  </si>
  <si>
    <t>http://searchminerals.ca/investors/presentations</t>
  </si>
  <si>
    <t>Miller, R. R. (2015). Pantellerite-hosted rare earth element mineralization in southeast Labrador: The Foxtrot deposit. In Symposium on critical and strategic materials. British Columbia Geological Survey Paper (Vol. 3, p. 109).</t>
  </si>
  <si>
    <t>http://www.searchminerals.ca/news/news-releases/search-minerals-announces-increased-deep-fox-and-foxtrot-mineral-resource-estimates</t>
  </si>
  <si>
    <t>Deep Fox</t>
  </si>
  <si>
    <t>Henley Harbour</t>
  </si>
  <si>
    <t>Unknown</t>
  </si>
  <si>
    <t>ThreeArc Mining LLC</t>
  </si>
  <si>
    <t>Tomtor</t>
  </si>
  <si>
    <t>Sakha Republic (Yakutia), Russia</t>
  </si>
  <si>
    <t>Lapin et al., 2016, Distribution of REE, Y, Sc, and Th in the Unique Complex Rare-Metal Ores of the Tomtor Deposit</t>
  </si>
  <si>
    <t>https://www.threearc.ru/en/</t>
  </si>
  <si>
    <t>On the state and use of mineral and raw resources of the Russian federation in 2020, 2021 (in Russion).</t>
  </si>
  <si>
    <t>Monazite Inventory of the USSR</t>
  </si>
  <si>
    <t>Russia</t>
  </si>
  <si>
    <t>——</t>
  </si>
  <si>
    <t>Technoinvest Alliance</t>
  </si>
  <si>
    <t>Zashikhinskoye/Zashikhinsky</t>
  </si>
  <si>
    <t>Nizhnyaya Uda, Irkutsk region, Russia</t>
  </si>
  <si>
    <t>3, 4(2025)</t>
  </si>
  <si>
    <t>Alymova and Vladykin, 2021, Geochemistry, Mineralogy and Ore Content of Alkaline Granite Magmatism of East Sayan Zone (On the Example of Zashikhinsky Deposit). In Alkaline Rocks, Kimberlites and Carbonatites: Geochemistry and Genesis (pp. 6</t>
  </si>
  <si>
    <t>LLC Lovozersky GOK</t>
  </si>
  <si>
    <t>Lovozersky/Lovozero</t>
  </si>
  <si>
    <t>Murmansk, Russia</t>
  </si>
  <si>
    <t>China Northern Rare Earth (Group)High-Tech Co.,Ltd</t>
  </si>
  <si>
    <t>Apatit JSC (PhosAgro PJSC)</t>
  </si>
  <si>
    <t>Khibiny (Kukisvumchorr/Kukisvumchorr)</t>
  </si>
  <si>
    <t>Khibiny, Murmansk, Russia</t>
  </si>
  <si>
    <t>Alkaline rock (Apatite-nepheline tailing)</t>
  </si>
  <si>
    <t>Khibiny (Yuksporskoe/Yukspor)</t>
  </si>
  <si>
    <t>Khibiny (Apatitovy Cirque)</t>
  </si>
  <si>
    <t>Khibiny (Koashvinskoe)</t>
  </si>
  <si>
    <t>North-West Phosphorous Company JSC (PJSC Acron)</t>
  </si>
  <si>
    <t>Khibiny (Deer Creek)</t>
  </si>
  <si>
    <t>ZAO “GK”Partomchorr” (PAO “FosAgro”)</t>
  </si>
  <si>
    <t>Khibiny (Partomchorrskoye)</t>
  </si>
  <si>
    <t>Chuktokun</t>
  </si>
  <si>
    <t>Krasnoyarsk, Russia</t>
  </si>
  <si>
    <t xml:space="preserve">Seligdar </t>
  </si>
  <si>
    <t>Alkaline rock (Apatite-carbonate)</t>
  </si>
  <si>
    <t>Beloziminskoe</t>
  </si>
  <si>
    <t>Irkutsk region, Russia</t>
  </si>
  <si>
    <t>LLC YaregaRuda, LLC LUKOIL-Komi (PJSC LUKOIL)</t>
  </si>
  <si>
    <t>Yaregskoe</t>
  </si>
  <si>
    <r>
      <rPr>
        <rFont val="Times New Roman"/>
        <color theme="1"/>
        <sz val="11.0"/>
      </rPr>
      <t>Ukhta, Komi Republic, Russia</t>
    </r>
  </si>
  <si>
    <t>Oil-bearing leucoxene sandstones</t>
  </si>
  <si>
    <t>Companhia Brasileira de Metalurgia e Mineração</t>
  </si>
  <si>
    <t>Araxá</t>
  </si>
  <si>
    <t>Araxa, Minas Gerais, Brazil</t>
  </si>
  <si>
    <t>https://miningdataonline.com/property/1512/Araxa-Mine.aspx</t>
  </si>
  <si>
    <r>
      <rPr>
        <rFont val="Times New Roman"/>
        <color theme="1"/>
        <sz val="11.0"/>
      </rPr>
      <t>TAKEHARA, L., SILVEIRA, F., &amp; SANTOS, R. Chapter 4-potentiality of rare earth elements in Brazil. Rare Earths Industry. 2016. Doi: 10.1016. B978-0-12-802328-0.00004-8; https://cbmm.com/zh/partner-with-cbmm/our-company/about-cbmm</t>
    </r>
    <r>
      <rPr>
        <rFont val="等线"/>
        <color theme="1"/>
        <sz val="11.0"/>
      </rPr>
      <t>；</t>
    </r>
    <r>
      <rPr>
        <rFont val="Times New Roman"/>
        <color theme="1"/>
        <sz val="11.0"/>
      </rPr>
      <t>https://www.mining120.com/tech/show-htm-itemid-27615.html</t>
    </r>
  </si>
  <si>
    <r>
      <rPr>
        <rFont val="Times New Roman"/>
        <color theme="1"/>
        <sz val="11.0"/>
      </rPr>
      <t>Itafos</t>
    </r>
    <r>
      <rPr>
        <rFont val="宋体"/>
        <color theme="1"/>
        <sz val="11.0"/>
      </rPr>
      <t>（</t>
    </r>
    <r>
      <rPr>
        <rFont val="Times New Roman"/>
        <color theme="1"/>
        <sz val="11.0"/>
      </rPr>
      <t>MBAC Fertilizer Corp</t>
    </r>
    <r>
      <rPr>
        <rFont val="宋体"/>
        <color theme="1"/>
        <sz val="11.0"/>
      </rPr>
      <t>）</t>
    </r>
  </si>
  <si>
    <t>Area Zero (in Araxá)</t>
  </si>
  <si>
    <r>
      <rPr>
        <rFont val="Times New Roman"/>
        <color theme="1"/>
        <sz val="11.0"/>
      </rPr>
      <t>https://www.itafos.com/projects/itafos-araxa/</t>
    </r>
    <r>
      <rPr>
        <rFont val="等线"/>
        <color theme="1"/>
        <sz val="11.0"/>
      </rPr>
      <t>；</t>
    </r>
    <r>
      <rPr>
        <rFont val="Times New Roman"/>
        <color theme="1"/>
        <sz val="11.0"/>
      </rPr>
      <t>https://www.itafos.com/investors/presentations-fact-sheets/; TAKEHARA, L., SILVEIRA, F., &amp; SANTOS, R. Chapter 4-potentiality of rare earth elements in Brazil. Rare Earths Industry. 2016. Doi: 10.1016. B978-0-12-802328-0.00004-8.</t>
    </r>
  </si>
  <si>
    <r>
      <rPr>
        <rFont val="Times New Roman"/>
        <color theme="1"/>
        <sz val="11.0"/>
      </rPr>
      <t>https://www.itafos.com/projects/itafos-araxa/</t>
    </r>
    <r>
      <rPr>
        <rFont val="等线"/>
        <color theme="1"/>
        <sz val="11.0"/>
      </rPr>
      <t>；</t>
    </r>
    <r>
      <rPr>
        <rFont val="Times New Roman"/>
        <color theme="1"/>
        <sz val="11.0"/>
      </rPr>
      <t>https://www.itafos.com/investors/presentations-fact-sheets/</t>
    </r>
  </si>
  <si>
    <t>Frontier Rare Earths Ltd.</t>
  </si>
  <si>
    <t>Zandkopsdrift</t>
  </si>
  <si>
    <t>Northern Cape province, South Africa</t>
  </si>
  <si>
    <t>https://frontierrareearths.com/chinese/</t>
  </si>
  <si>
    <t>Frontier-Corporate-Presentation_Jan-2015</t>
  </si>
  <si>
    <t>Galileo Resources Plc</t>
  </si>
  <si>
    <t>Glenover</t>
  </si>
  <si>
    <t>Limpopo Province, South Africa</t>
  </si>
  <si>
    <t>Carbonatite (Tailings)</t>
  </si>
  <si>
    <t>Geological Report and Resource Estimate for the Glenover Carbonatite Project</t>
  </si>
  <si>
    <t>https://galileoresources.com/glenover-rare-earth-project/</t>
  </si>
  <si>
    <t>Tantalum Holding Ltd (ex-owner)</t>
  </si>
  <si>
    <t>Ambohimirahavavy</t>
  </si>
  <si>
    <t>Ampassidawa Peninsula, Madagascar</t>
  </si>
  <si>
    <t>Estrade et al., 2019, REE concentration processes in ion adsorption deposits: Evidence from the Ambohimirahavavy alkaline complex in Madagascar</t>
  </si>
  <si>
    <t>Wilmet, L., Devillers, P., &amp; Beudels-Jamar, R. C. (2017). Priceless ecosystems threatened by a rare earth mining project in northwest Madagascar–Ampasindava Peninsula. Lemur News, 20, 3-4.</t>
  </si>
  <si>
    <t>Estrade, G., Marquis, E., Smith, M., Goodenough, K., &amp; Nason, P. (2019). REE concentration processes in ion adsorption deposits: Evidence from the Ambohimirahavavy alkaline complex in Madagascar. Ore Geology Reviews, 112, 103027.</t>
  </si>
  <si>
    <t>QIT Madagascar Minerals</t>
  </si>
  <si>
    <t>Mandena</t>
  </si>
  <si>
    <t>Mandena, Madagascar</t>
  </si>
  <si>
    <t>Hao et al., 2018, High-level natural radionuclides from the Mandena deposit, South Madagascar</t>
  </si>
  <si>
    <r>
      <rPr>
        <rFont val="Times New Roman"/>
        <color theme="1"/>
        <sz val="11.0"/>
      </rPr>
      <t>Van Hao, D., Dinh, C. N., Jodłowski, P., &amp; Kovacs, T. (2019). High-level natural radionuclides from the Mandena deposit, South Madagascar. Journal of Radioanalytical and Nuclear Chemistry, 319(3), 1331-1338.</t>
    </r>
    <r>
      <rPr>
        <rFont val="宋体"/>
        <color theme="1"/>
        <sz val="11.0"/>
      </rPr>
      <t>；</t>
    </r>
    <r>
      <rPr>
        <rFont val="Times New Roman"/>
        <color theme="1"/>
        <sz val="11.0"/>
      </rPr>
      <t>https://www.riotinto.com/operations/madagascar/qit-madagascar-minerals</t>
    </r>
  </si>
  <si>
    <t>Van Hao, D., Dinh, C. N., Jodłowski, P., &amp; Kovacs, T. (2019). High-level natural radionuclides from the Mandena deposit, South Madagascar. Journal of Radioanalytical and Nuclear Chemistry, 319(3), 1331-1338.</t>
  </si>
  <si>
    <t>New Democratic Army Kachin</t>
  </si>
  <si>
    <t>Northern Myanmar</t>
  </si>
  <si>
    <t>Kachin state, Myanmar</t>
  </si>
  <si>
    <r>
      <rPr>
        <rFont val="Times New Roman"/>
        <color theme="1"/>
        <sz val="11.0"/>
      </rPr>
      <t>https://www.globaltimes.cn/page/202103/1218983.shtml</t>
    </r>
    <r>
      <rPr>
        <rFont val="等线"/>
        <color theme="1"/>
        <sz val="11.0"/>
      </rPr>
      <t>；</t>
    </r>
    <r>
      <rPr>
        <rFont val="Times New Roman"/>
        <color theme="1"/>
        <sz val="11.0"/>
      </rPr>
      <t>https://roskill.com/news/rare-earths-myanmar-coup-detat-creates-more-uncertainty-for-heavy-rare-earth-supply/</t>
    </r>
  </si>
  <si>
    <t>South Central Thailand</t>
  </si>
  <si>
    <t>Charusiri, P., Sutthirat, C., &amp; Daorerk, V. (2009). Introduction to rare-earth metal resources in Thailand.</t>
  </si>
  <si>
    <t>Perak</t>
  </si>
  <si>
    <t>Perak, Malaysia</t>
  </si>
  <si>
    <t>Placer (Tailings of Tin deposit)</t>
  </si>
  <si>
    <t>BHP</t>
  </si>
  <si>
    <t>Olympic Dam (OC Sulphide)</t>
  </si>
  <si>
    <t>South Australia</t>
  </si>
  <si>
    <t>IOCG (Tailings)</t>
  </si>
  <si>
    <t>Weng et al., 2015</t>
  </si>
  <si>
    <t>Weng, Z., Jowitt, S. M., Mudd, G. M., &amp; Haque, N. (2015). A detailed assessment of global rare earth element resources: opportunities and challenges. Economic Geology, 110(8), 1925-1952.</t>
  </si>
  <si>
    <r>
      <rPr>
        <rFont val="Times New Roman"/>
        <color theme="1"/>
        <sz val="11.0"/>
      </rPr>
      <t>https://www.bhp.com/investor-centre/annual-report-2020/</t>
    </r>
    <r>
      <rPr>
        <rFont val="等线"/>
        <color theme="1"/>
        <sz val="11.0"/>
      </rPr>
      <t>；</t>
    </r>
    <r>
      <rPr>
        <rFont val="Times New Roman"/>
        <color theme="1"/>
        <sz val="11.0"/>
      </rPr>
      <t>Weng, Z., Jowitt, S. M., Mudd, G. M., &amp; Haque, N. (2015). A detailed assessment of global rare earth element resources: opportunities and challenges. Economic Geology, 110(8), 1925-1952.</t>
    </r>
  </si>
  <si>
    <t>Olympic Dam (UG Sulphide)</t>
  </si>
  <si>
    <r>
      <rPr>
        <rFont val="Times New Roman"/>
        <color theme="1"/>
        <sz val="11.0"/>
      </rPr>
      <t>https://www.bhp.com/investor-centre/annual-report-2020/</t>
    </r>
    <r>
      <rPr>
        <rFont val="宋体"/>
        <color theme="1"/>
        <sz val="11.0"/>
      </rPr>
      <t>；</t>
    </r>
    <r>
      <rPr>
        <rFont val="Times New Roman"/>
        <color theme="1"/>
        <sz val="11.0"/>
      </rPr>
      <t>Weng, Z., Jowitt, S. M., Mudd, G. M., &amp; Haque, N. (2015). A detailed assessment of global rare earth element resources: opportunities and challenges. Economic Geology, 110(8), 1925-1952.</t>
    </r>
  </si>
  <si>
    <t>Defense Metals</t>
  </si>
  <si>
    <t>Wicheeda</t>
  </si>
  <si>
    <t>Prince George, British Columbia, Canada</t>
  </si>
  <si>
    <t>2(2025)</t>
  </si>
  <si>
    <t>Dalsin et al., 2015, The mineralogy and geochemistry of the Wicheeda Carbonatite Complex, British Columbia, Canada</t>
  </si>
  <si>
    <t>https://www.defensemetals.com/_files/ugd/1b0da6_e8f7b5aa25834742a3e09514b07f135a.pdf</t>
  </si>
  <si>
    <t>Great Western Minerals Group Ltd</t>
  </si>
  <si>
    <t>Hoidas Lake</t>
  </si>
  <si>
    <t>Northern Saskatchewan, Canada</t>
  </si>
  <si>
    <t>Halpin, K. M. (2010). The characteristics and origin of the Hoidas Lake REE deposit (Doctoral dissertation, University of Saskatchewan).</t>
  </si>
  <si>
    <t>CITIC Securities Co., Ltd report, 2020</t>
  </si>
  <si>
    <t>Mining Development Company</t>
  </si>
  <si>
    <t>Pocos de Caldas</t>
  </si>
  <si>
    <t>Brazil</t>
  </si>
  <si>
    <t xml:space="preserve">Schorscher and Shea, 1992, The regional geology of the Pogos de Caldas alkaline complex: mineralogy and geochemistry of selected nepheline syenites and phonolites </t>
  </si>
  <si>
    <t>POTENTIALITY OF RARE EARTH ELEMENTS IN BRAZIL</t>
  </si>
  <si>
    <r>
      <rPr>
        <rFont val="Times New Roman"/>
        <color rgb="FF222222"/>
        <sz val="10.0"/>
      </rPr>
      <t>TAKEHARA, L., SILVEIRA, F., &amp; SANTOS, R. </t>
    </r>
    <r>
      <rPr>
        <rFont val="Times New Roman"/>
        <i/>
        <color rgb="FF222222"/>
        <sz val="10.0"/>
      </rPr>
      <t>Chapter 4-potentiality of rare earth elements in Brazil. Rare Earths Industry. 2016. Doi: 10.1016</t>
    </r>
    <r>
      <rPr>
        <rFont val="Times New Roman"/>
        <color rgb="FF222222"/>
        <sz val="10.0"/>
      </rPr>
      <t>. B978-0-12-802328-0.00004-8.</t>
    </r>
  </si>
  <si>
    <t>Pitinga</t>
  </si>
  <si>
    <t>Alves et al., 2018, Weathering of the Madeira world-class Sn-Nb-Ta (Cryolite, REE, U, Th) deposit, Pitinga Mine (Amazon, Brazil)</t>
  </si>
  <si>
    <r>
      <rPr>
        <rFont val="Times New Roman"/>
        <color rgb="FF222222"/>
        <sz val="10.0"/>
      </rPr>
      <t>TAKEHARA, L., SILVEIRA, F., &amp; SANTOS, R. </t>
    </r>
    <r>
      <rPr>
        <rFont val="Times New Roman"/>
        <i/>
        <color rgb="FF222222"/>
        <sz val="10.0"/>
      </rPr>
      <t>Chapter 4-potentiality of rare earth elements in Brazil. Rare Earths Industry. 2016. Doi: 10.1016</t>
    </r>
    <r>
      <rPr>
        <rFont val="Times New Roman"/>
        <color rgb="FF222222"/>
        <sz val="10.0"/>
      </rPr>
      <t>. B978-0-12-802328-0.00004-8.</t>
    </r>
  </si>
  <si>
    <t>Catala˜o I</t>
  </si>
  <si>
    <t>Goiás, Brazil</t>
  </si>
  <si>
    <t>Chen et al., 2017, Geochemistry of Monazite within Carbonatite Related REE Deposits</t>
  </si>
  <si>
    <r>
      <rPr>
        <rFont val="Times New Roman"/>
        <color rgb="FF222222"/>
        <sz val="10.0"/>
      </rPr>
      <t>TAKEHARA, L., SILVEIRA, F., &amp; SANTOS, R. </t>
    </r>
    <r>
      <rPr>
        <rFont val="Times New Roman"/>
        <i/>
        <color rgb="FF222222"/>
        <sz val="10.0"/>
      </rPr>
      <t>Chapter 4-potentiality of rare earth elements in Brazil. Rare Earths Industry. 2016. Doi: 10.1016</t>
    </r>
    <r>
      <rPr>
        <rFont val="Times New Roman"/>
        <color rgb="FF222222"/>
        <sz val="10.0"/>
      </rPr>
      <t>. B978-0-12-802328-0.00004-8.</t>
    </r>
  </si>
  <si>
    <t>Catala˜o II</t>
  </si>
  <si>
    <r>
      <rPr>
        <rFont val="Times New Roman"/>
        <color rgb="FF222222"/>
        <sz val="10.0"/>
      </rPr>
      <t>TAKEHARA, L., SILVEIRA, F., &amp; SANTOS, R. </t>
    </r>
    <r>
      <rPr>
        <rFont val="Times New Roman"/>
        <i/>
        <color rgb="FF222222"/>
        <sz val="10.0"/>
      </rPr>
      <t>Chapter 4-potentiality of rare earth elements in Brazil. Rare Earths Industry. 2016. Doi: 10.1016</t>
    </r>
    <r>
      <rPr>
        <rFont val="Times New Roman"/>
        <color rgb="FF222222"/>
        <sz val="10.0"/>
      </rPr>
      <t>. B978-0-12-802328-0.00004-8.</t>
    </r>
  </si>
  <si>
    <t xml:space="preserve">Paraı ´ba (Guaju Mine) </t>
  </si>
  <si>
    <t>Paraı ´ba, Brazil</t>
  </si>
  <si>
    <t>Rio de Janeiro (Buena Mine)</t>
  </si>
  <si>
    <t>Rio de Janeiro, Brazil</t>
  </si>
  <si>
    <t xml:space="preserve">Aclara Resources </t>
  </si>
  <si>
    <t>Penco Module (Biolantanidos)</t>
  </si>
  <si>
    <t>Biobio, Chile</t>
  </si>
  <si>
    <t>4(2026)</t>
  </si>
  <si>
    <t>https://uploads-ssl.webflow.com/6267a587be31507747a1c8b6/62827cbee3973f2e40c90e4d_Aclara-Canaccord-Presentation-May.-2022_final.pdf</t>
  </si>
  <si>
    <t>https://uploads-ssl.webflow.com/6267a587be31507747a1c8b6/62827cbee3973f2e40c90e4d_Aclara-Canaccord-Presentation-May.-2022_final.pdf; https://www.mining-technology.com/news/hochschild-demerge-chilean-rare-earth/</t>
  </si>
  <si>
    <t>Monumental Minerals Corp.</t>
  </si>
  <si>
    <t xml:space="preserve">Jemi </t>
  </si>
  <si>
    <t>Coahuila, Mexico</t>
  </si>
  <si>
    <t>https://monumentalminerals.com/jemi/</t>
  </si>
  <si>
    <t>Altona</t>
  </si>
  <si>
    <t>Monte Muambe</t>
  </si>
  <si>
    <t>Mozambique</t>
  </si>
  <si>
    <t>https://www.altonare.com/investors/reports/</t>
  </si>
  <si>
    <t>SOQUEM</t>
  </si>
  <si>
    <t>Fosse du Labrador</t>
  </si>
  <si>
    <t>Québec, Canada</t>
  </si>
  <si>
    <t>VMS and orogenic gold</t>
  </si>
  <si>
    <t>https://soquem.qc.ca/map/</t>
  </si>
  <si>
    <t>Kwyjibo</t>
  </si>
  <si>
    <t>Lake Manitou, Québec, Canada</t>
  </si>
  <si>
    <t>IOCG</t>
  </si>
  <si>
    <t>https://www.soquem.qc.ca/wp-content/uploads/kwyjibo-20180628-francais.pdf</t>
  </si>
  <si>
    <t>SOQUEM, Azimut</t>
  </si>
  <si>
    <t>Rex South</t>
  </si>
  <si>
    <t>Minto Subprovince, Québec, Canada</t>
  </si>
  <si>
    <t>Rex-Duquet</t>
  </si>
  <si>
    <t>Qalluviartuuq, Québec, Canada</t>
  </si>
  <si>
    <t>Antler Gold</t>
  </si>
  <si>
    <t>Kesya</t>
  </si>
  <si>
    <t xml:space="preserve"> Kafue, Zambia</t>
  </si>
  <si>
    <t>https://antlergold.com/projects/kesya-rare-earth-project</t>
  </si>
  <si>
    <t>Meeka Gold Ltd</t>
  </si>
  <si>
    <t>Cascade</t>
  </si>
  <si>
    <t>Esperance, Australia</t>
  </si>
  <si>
    <t>https://meekametals.com.au/cascade-rare-earth-project/</t>
  </si>
  <si>
    <t>Circle valley</t>
  </si>
  <si>
    <t>Norseman, Australia</t>
  </si>
  <si>
    <t>Venus Metals</t>
  </si>
  <si>
    <t>https://www.venusmetals.com.au/our-projects/mangaroon-north-rare-earth-base-metals-project</t>
  </si>
  <si>
    <t xml:space="preserve">Mount Ridley Mines Limited </t>
  </si>
  <si>
    <t>Mt Ridley</t>
  </si>
  <si>
    <t>Mount Ridley, Western Australia</t>
  </si>
  <si>
    <t>https://stockhead.com.au/resources/drilling-kicks-off-at-mount-ridleys-namesake-rare-earth-project/</t>
  </si>
  <si>
    <t>Godolphin Resources Limited</t>
  </si>
  <si>
    <t>Narraburra</t>
  </si>
  <si>
    <t>the central west of NSW, Australia</t>
  </si>
  <si>
    <t>https://resourcesreview.com.au/projects/diamond-drilling-program-approved-for-narraburra-rare-earth-project/</t>
  </si>
  <si>
    <t>https://godolphinresources.com.au/narraburra</t>
  </si>
  <si>
    <t>Indiana Resources Limited’s</t>
  </si>
  <si>
    <t>Lake Labyrinth Shear Zone</t>
  </si>
  <si>
    <t>https://www.theassay.com/news/indiana-identifies-rare-earth-potential-at-central-gawler-project/</t>
  </si>
  <si>
    <t>Petratherm Limited</t>
  </si>
  <si>
    <t>Comet</t>
  </si>
  <si>
    <t>https://www.petratherm.com.au/</t>
  </si>
  <si>
    <t>Terrain Minerals Ltd</t>
  </si>
  <si>
    <t>Lort River</t>
  </si>
  <si>
    <t>http://terrainminerals.com.au/</t>
  </si>
  <si>
    <t>Eti Maden</t>
  </si>
  <si>
    <t xml:space="preserve">Kızılcaören </t>
  </si>
  <si>
    <t>Eskişehir, Turkey</t>
  </si>
  <si>
    <t>Öztürk, H., Altuncu, S., Hanilçi, N., Kasapçı, C., &amp; Goodenough, K. M. (2019). Rare earth element-bearing fluorite deposits of Turkey: An overview. Ore Geology Reviews, 105, 423-444.</t>
  </si>
  <si>
    <t xml:space="preserve"> Rare earth element-bearing fluorite deposits of Turkey: An overview. Ore Geology Reviews, 105, 423-444.</t>
  </si>
  <si>
    <t>Bayan Obo</t>
  </si>
  <si>
    <t>China</t>
  </si>
  <si>
    <t>Chunlong Li, Xiaogang Li, and Raoguang Xu,2015, Technology development and industrialization of resources comprehensive utilization of intergrowth and associated ore in Baiyun Obo. Rare Earth, 36(5), 151-158.</t>
  </si>
  <si>
    <t>China Rare Earth Group CO., LTD.</t>
  </si>
  <si>
    <t>Weishan</t>
  </si>
  <si>
    <t>Alkaline</t>
  </si>
  <si>
    <t>-</t>
  </si>
  <si>
    <t>Fan H R, Niu H C, Li X C, et al. The types, ore genesis and resource perspective of endogenic REE deposits in China (in Chinese). Chin Sci Bull, 2020, 65:3778–3793, doi: 10.1360/TB-2020-0432</t>
  </si>
  <si>
    <t>Dalucao</t>
  </si>
  <si>
    <t>Shu er al., 2019, Geochemical characteristics and geological significance of fenites in the Mianning-Dechang REE belt, western Sichuan Province</t>
  </si>
  <si>
    <t>Yangfang</t>
  </si>
  <si>
    <t>https://pdf.dfcfw.com/pdf/H3_AP202105301494845145_1.pdf?1622453411000.pdf</t>
  </si>
  <si>
    <t>Maoniuping</t>
  </si>
  <si>
    <t>Muluozhai</t>
  </si>
  <si>
    <t>Ouyang and Liu, 2019, REE mineralization and characteristics of wall rocks in the muluozhai REE deposit, Mianning county, Sichuan Province</t>
  </si>
  <si>
    <t>South China seven proveince</t>
  </si>
  <si>
    <t>Clays</t>
  </si>
  <si>
    <t>Li, Y. H. M., Zhao, W. W. &amp; Zhou, M.-F. Nature of parent rocks, mineralization styles and ore genesis of regolith-hosted REE deposits in South China: an integrated genetic model. J. Asian Earth Sci. 148, 65–95 (2017).</t>
  </si>
  <si>
    <t>Personal conmunacation with Prof. Hanjie Wen</t>
  </si>
  <si>
    <t>No.</t>
  </si>
  <si>
    <t>Company</t>
  </si>
  <si>
    <t>Project</t>
  </si>
  <si>
    <t>Status (2022)  1: Crushing roughing: Operate mineral concentration; 3: mixed REO; 4:Operate seprated REO; 5 Metal; T Trial production; P Pre-feasibility study; PT Project terminated</t>
  </si>
  <si>
    <t>Capacity</t>
  </si>
  <si>
    <t>Yield</t>
  </si>
  <si>
    <t>Upstream</t>
  </si>
  <si>
    <t>Downstream</t>
  </si>
  <si>
    <t>Status Ref.</t>
  </si>
  <si>
    <t>Capacity Ref.</t>
  </si>
  <si>
    <t>Yield Ref.</t>
  </si>
  <si>
    <t>Upstream Ref.</t>
  </si>
  <si>
    <t>Downstream Ref.</t>
  </si>
  <si>
    <t>Mount Weld Plant</t>
  </si>
  <si>
    <t>66kt/y concentration (contain 26500t REO)</t>
  </si>
  <si>
    <t>Kuantan plant</t>
  </si>
  <si>
    <t>https://lynasrareearths.com/about-us/locations/mt-weld-western-australia/</t>
  </si>
  <si>
    <t>Kuantan Plant</t>
  </si>
  <si>
    <t>Kuantan</t>
  </si>
  <si>
    <r>
      <rPr>
        <rFont val="Times New Roman"/>
        <color theme="1"/>
        <sz val="11.0"/>
      </rPr>
      <t>~20kt</t>
    </r>
  </si>
  <si>
    <r>
      <rPr>
        <rFont val="Times New Roman"/>
        <color theme="1"/>
        <sz val="11.0"/>
      </rPr>
      <t>15761t/y (REO, 2021)</t>
    </r>
  </si>
  <si>
    <t>Japan, Europe, China, and North America</t>
  </si>
  <si>
    <t>https://lynasrareearths.com/wp-content/uploads/2022/05/Lynas-Malaysia-Economic-Impact-Assessment-2022.pdf</t>
  </si>
  <si>
    <t>Kalgoorlie Plant</t>
  </si>
  <si>
    <t>Kalgoorlie,Australia</t>
  </si>
  <si>
    <t>3(2023)</t>
  </si>
  <si>
    <t>HREE separate Plant</t>
  </si>
  <si>
    <t>Hondo, Texas, USA</t>
  </si>
  <si>
    <r>
      <rPr>
        <rFont val="Times New Roman"/>
        <color theme="1"/>
        <sz val="11.0"/>
      </rPr>
      <t>5000t/y (REO, containing 1250t/PrNd)</t>
    </r>
  </si>
  <si>
    <t>Kalgoorlie plant</t>
  </si>
  <si>
    <t>https://news.cnpowder.com.cn/58843.html; https://smcorridornews.com/texas-is-home-to-one-of-the-largest-deposits-of-rare-earths-in-the-u-s/</t>
  </si>
  <si>
    <t>Mountain Pass Plant</t>
  </si>
  <si>
    <t>Central Mojave Desert, California, USA</t>
  </si>
  <si>
    <r>
      <rPr>
        <rFont val="Times New Roman"/>
        <color theme="1"/>
        <sz val="11.0"/>
      </rPr>
      <t>42413t/y</t>
    </r>
    <r>
      <rPr>
        <rFont val="宋体"/>
        <color theme="1"/>
        <sz val="11.0"/>
      </rPr>
      <t>（</t>
    </r>
    <r>
      <rPr>
        <rFont val="Times New Roman"/>
        <color theme="1"/>
        <sz val="11.0"/>
      </rPr>
      <t>2021, REO</t>
    </r>
    <r>
      <rPr>
        <rFont val="宋体"/>
        <color theme="1"/>
        <sz val="11.0"/>
      </rPr>
      <t>）</t>
    </r>
  </si>
  <si>
    <r>
      <rPr>
        <rFont val="Times New Roman"/>
        <color theme="1"/>
        <sz val="11.0"/>
      </rPr>
      <t>MP Materials Reports First Quarter 2021 Results</t>
    </r>
    <r>
      <rPr>
        <rFont val="宋体"/>
        <color theme="1"/>
        <sz val="11.0"/>
      </rPr>
      <t>；</t>
    </r>
    <r>
      <rPr>
        <rFont val="Times New Roman"/>
        <color theme="1"/>
        <sz val="11.0"/>
      </rPr>
      <t>MP Materials Reports Fourth Quarter and Full Year 2020 Results</t>
    </r>
  </si>
  <si>
    <r>
      <rPr>
        <rFont val="Times New Roman"/>
        <color theme="1"/>
        <sz val="11.0"/>
      </rPr>
      <t>https://www.defensenews.com/opinion/commentary/2019/11/12/the-collapse-of-american-rare-earth-mining-and-lessons-learned/</t>
    </r>
    <r>
      <rPr>
        <rFont val="宋体"/>
        <color theme="1"/>
        <sz val="11.0"/>
      </rPr>
      <t>；</t>
    </r>
    <r>
      <rPr>
        <rFont val="Times New Roman"/>
        <color theme="1"/>
        <sz val="11.0"/>
      </rPr>
      <t xml:space="preserve"> http://roskill.cn/Index/news/id/1010</t>
    </r>
  </si>
  <si>
    <t>HREE facility</t>
  </si>
  <si>
    <t>Mountain Pass, California</t>
  </si>
  <si>
    <t>https://www.defense.gov/News/Releases/Release/Article/2941793/dod-awards-35-million-to-mp-materials-to-build-us-heavy-rare-earth-separation-c/</t>
  </si>
  <si>
    <t>Texas Rare Earth Magnetics Factory</t>
  </si>
  <si>
    <t>Fort Worth, Texas</t>
  </si>
  <si>
    <t>5(2023)</t>
  </si>
  <si>
    <t>1000t NFeB metal</t>
  </si>
  <si>
    <t>Mountain pass</t>
  </si>
  <si>
    <t>https://mpmaterials.com/articles/mp-materials-begins-construction-on-texas-rare-earth-magnetics-factory-to-restore-full-us-supply-chain/</t>
  </si>
  <si>
    <t>Eneabba Plant</t>
  </si>
  <si>
    <t>Eneabba, Australia</t>
  </si>
  <si>
    <t>Wimmera Plant</t>
  </si>
  <si>
    <t>Wimmera and Mallee, Western Victoria, Australia</t>
  </si>
  <si>
    <t>P, 1(?)</t>
  </si>
  <si>
    <t>192kt/y (heavy mineral)</t>
  </si>
  <si>
    <t>WIM 100</t>
  </si>
  <si>
    <t>https://www.planning.vic.gov.au/environment-assessment/browse-projects/projects/wimmera-mineral-sands#overview</t>
  </si>
  <si>
    <t>https://iluka.com/CMSPages/GetFile.aspx?guid=d7c54915-6414-48b8-9efe-eadd1ae9f6c8</t>
  </si>
  <si>
    <t>Daejeon Plant</t>
  </si>
  <si>
    <t>Daejeon, South Korea</t>
  </si>
  <si>
    <t>T, 4(?)</t>
  </si>
  <si>
    <r>
      <rPr>
        <rFont val="Times New Roman"/>
        <color theme="1"/>
        <sz val="11.0"/>
      </rPr>
      <t>200kg Fe-Nd(Nd80%</t>
    </r>
    <r>
      <rPr>
        <rFont val="宋体"/>
        <color theme="1"/>
        <sz val="11.0"/>
      </rPr>
      <t>，</t>
    </r>
    <r>
      <rPr>
        <rFont val="Times New Roman"/>
        <color theme="1"/>
        <sz val="11.0"/>
      </rPr>
      <t>Fe20%) metal</t>
    </r>
    <r>
      <rPr>
        <rFont val="宋体"/>
        <color theme="1"/>
        <sz val="11.0"/>
      </rPr>
      <t>；</t>
    </r>
    <r>
      <rPr>
        <rFont val="Times New Roman"/>
        <color theme="1"/>
        <sz val="11.0"/>
      </rPr>
      <t>6kg NdFeB Magnetic alloy</t>
    </r>
  </si>
  <si>
    <r>
      <rPr>
        <rFont val="Times New Roman"/>
        <color theme="1"/>
        <sz val="11.0"/>
      </rPr>
      <t>Dubbo</t>
    </r>
  </si>
  <si>
    <t>Korean Metals Plant</t>
  </si>
  <si>
    <t>Cheongju, South Korea</t>
  </si>
  <si>
    <t>P, 4(2022)</t>
  </si>
  <si>
    <t>2200t/y</t>
  </si>
  <si>
    <r>
      <rPr>
        <rFont val="Times New Roman"/>
        <color theme="1"/>
        <sz val="11.0"/>
      </rPr>
      <t>NdFeB metal 40t (2021)</t>
    </r>
    <r>
      <rPr>
        <rFont val="宋体"/>
        <color theme="1"/>
        <sz val="11.0"/>
      </rPr>
      <t>，</t>
    </r>
    <r>
      <rPr>
        <rFont val="Times New Roman"/>
        <color theme="1"/>
        <sz val="11.0"/>
      </rPr>
      <t>1900t (2022); 582t (metal, 2021); 4282t (metal, 2022)</t>
    </r>
  </si>
  <si>
    <r>
      <rPr>
        <rFont val="Times New Roman"/>
        <color theme="1"/>
        <sz val="11.0"/>
      </rPr>
      <t>Dubbo</t>
    </r>
  </si>
  <si>
    <t xml:space="preserve">Quarterly Activities Report to 31 March 2022 </t>
  </si>
  <si>
    <t>Kvanefjeld plant</t>
  </si>
  <si>
    <t>Narsaq, Greenland, Australia</t>
  </si>
  <si>
    <r>
      <rPr>
        <rFont val="Times New Roman"/>
        <color theme="1"/>
        <sz val="11.0"/>
      </rPr>
      <t>32100t/y (contain 5692t PrNd, 270T Dy, 44t Tb)</t>
    </r>
  </si>
  <si>
    <t>Pr,Nd oxide 5690t/a; Tb 44t/a, Dy 270 t/a</t>
  </si>
  <si>
    <r>
      <rPr>
        <rFont val="Times New Roman"/>
        <color theme="1"/>
        <sz val="11.0"/>
      </rPr>
      <t>Kvanefjeld</t>
    </r>
  </si>
  <si>
    <t>Positioning Greenland To Be A Major International Rare Earth Supplier</t>
  </si>
  <si>
    <t>https://wcsecure.weblink.com.au/pdf/GGG/02515570.pdf</t>
  </si>
  <si>
    <t>Longonjo beneficiation plant</t>
  </si>
  <si>
    <t>P, 1(2022)</t>
  </si>
  <si>
    <r>
      <rPr>
        <rFont val="Times New Roman"/>
        <color theme="1"/>
        <sz val="11.0"/>
      </rPr>
      <t>56kt/y (concentration)</t>
    </r>
  </si>
  <si>
    <r>
      <rPr>
        <rFont val="Times New Roman"/>
        <color theme="1"/>
        <sz val="11.0"/>
      </rPr>
      <t>LSE Admission July 2020</t>
    </r>
    <r>
      <rPr>
        <rFont val="宋体"/>
        <color theme="1"/>
        <sz val="11.0"/>
      </rPr>
      <t>；</t>
    </r>
    <r>
      <rPr>
        <rFont val="Times New Roman"/>
        <color theme="1"/>
        <sz val="11.0"/>
      </rPr>
      <t>Commencing development of the world’s first Freeport rare earth processing hub</t>
    </r>
  </si>
  <si>
    <t>nterim results for the six months ended 31 December 2020</t>
  </si>
  <si>
    <t>Saltend rare earth processing center</t>
  </si>
  <si>
    <t>Saltend, UK</t>
  </si>
  <si>
    <t>P, 4(2025)</t>
  </si>
  <si>
    <t>12500t/y (REOs, containing 4500t NdPr)</t>
  </si>
  <si>
    <t>Commencing development of the world’s first Freeport rare earth processing hub</t>
  </si>
  <si>
    <r>
      <rPr>
        <rFont val="Times New Roman"/>
        <color theme="1"/>
        <sz val="11.0"/>
      </rPr>
      <t>ASX RELEASE</t>
    </r>
    <r>
      <rPr>
        <rFont val="宋体"/>
        <color theme="1"/>
        <sz val="11.0"/>
      </rPr>
      <t>，</t>
    </r>
    <r>
      <rPr>
        <rFont val="Times New Roman"/>
        <color theme="1"/>
        <sz val="11.0"/>
      </rPr>
      <t>15 November 2019</t>
    </r>
    <r>
      <rPr>
        <rFont val="宋体"/>
        <color theme="1"/>
        <sz val="11.0"/>
      </rPr>
      <t>，</t>
    </r>
    <r>
      <rPr>
        <rFont val="Times New Roman"/>
        <color theme="1"/>
        <sz val="11.0"/>
      </rPr>
      <t>Preliminary Feasibility Study</t>
    </r>
  </si>
  <si>
    <t>White Mesa Mill plant</t>
  </si>
  <si>
    <t>Utah, USA</t>
  </si>
  <si>
    <r>
      <rPr>
        <rFont val="Times New Roman"/>
        <color theme="1"/>
        <sz val="11.0"/>
      </rPr>
      <t>15kt/t monazite sand</t>
    </r>
    <r>
      <rPr>
        <rFont val="宋体"/>
        <color theme="1"/>
        <sz val="11.0"/>
      </rPr>
      <t>可以处理</t>
    </r>
    <r>
      <rPr>
        <rFont val="Times New Roman"/>
        <color theme="1"/>
        <sz val="11.0"/>
      </rPr>
      <t>1.5</t>
    </r>
    <r>
      <rPr>
        <rFont val="宋体"/>
        <color theme="1"/>
        <sz val="11.0"/>
      </rPr>
      <t>万吨独居石砂，约占其矿石处理能力为</t>
    </r>
    <r>
      <rPr>
        <rFont val="Times New Roman"/>
        <color theme="1"/>
        <sz val="11.0"/>
      </rPr>
      <t>72</t>
    </r>
    <r>
      <rPr>
        <rFont val="宋体"/>
        <color theme="1"/>
        <sz val="11.0"/>
      </rPr>
      <t>万吨</t>
    </r>
    <r>
      <rPr>
        <rFont val="Times New Roman"/>
        <color theme="1"/>
        <sz val="11.0"/>
      </rPr>
      <t>/</t>
    </r>
    <r>
      <rPr>
        <rFont val="宋体"/>
        <color theme="1"/>
        <sz val="11.0"/>
      </rPr>
      <t>年</t>
    </r>
  </si>
  <si>
    <t>650-1000t (REO carbonate); 300-450t TREO</t>
  </si>
  <si>
    <t>Sillamäe, Estonia</t>
  </si>
  <si>
    <t>https://www.energyfuels.com/2022-05-16-Energy-Fuels-Announces-Q1-2022-Results,-Including-Continued-Robust-Balance-Sheet,-Market-Leading-U-S-Uranium-Position-Rare-Earth-Production</t>
  </si>
  <si>
    <t>Neo Performance Materials</t>
  </si>
  <si>
    <t>Silmet Rare Earth Separation Plant</t>
  </si>
  <si>
    <t>3000t REO metal</t>
  </si>
  <si>
    <r>
      <rPr>
        <rFont val="Times New Roman"/>
        <color theme="1"/>
        <sz val="11.0"/>
      </rPr>
      <t>7348t/y (oxide, 2020)</t>
    </r>
  </si>
  <si>
    <t>White Mesa Mill</t>
  </si>
  <si>
    <t>Japan, China, Tailand Magnetic powder factory; Estonia, Singapore, Germany, United Kingdom, Canada, United States and South Korea</t>
  </si>
  <si>
    <t>Neo performance meterials presentation</t>
  </si>
  <si>
    <r>
      <rPr>
        <rFont val="Times New Roman"/>
        <color theme="1"/>
        <sz val="11.0"/>
      </rPr>
      <t>https://www.sillamae.ee/web/eng/molycorp-silmet</t>
    </r>
    <r>
      <rPr>
        <rFont val="宋体"/>
        <color theme="1"/>
        <sz val="11.0"/>
      </rPr>
      <t>；</t>
    </r>
    <r>
      <rPr>
        <rFont val="Times New Roman"/>
        <color theme="1"/>
        <sz val="11.0"/>
      </rPr>
      <t>https://www.energyfuels.com/2021-07-07-Energy-Fuels-and-Neo-Performance-Materials-Announce-Contract-Signing-and-Launch-of-Commercial-Shipments-of-Rare-Earth-Product-to-Europe-in-Emerging-U-S-Based-Rare-Earth-Supply-Chain</t>
    </r>
  </si>
  <si>
    <t>Neo Performance Materials Reports Fourth Quarter 2020 And Year-End Results</t>
  </si>
  <si>
    <t>Korat rare earth metal plant</t>
  </si>
  <si>
    <t>Korat, Thailand</t>
  </si>
  <si>
    <t>Tanbreez plant</t>
  </si>
  <si>
    <t>100kt/y (Eudialyte concentration)</t>
  </si>
  <si>
    <t>Tanbreez</t>
  </si>
  <si>
    <t>https://news.91jinshu.com/xitu/202008/19079.html
http://tanbreez.com/en/construction-phase/</t>
  </si>
  <si>
    <t>http://tanbreez.com/en/construction-phase/</t>
  </si>
  <si>
    <t>Norra Kärr plant</t>
  </si>
  <si>
    <t>South central sweden</t>
  </si>
  <si>
    <t>P, 4(?)</t>
  </si>
  <si>
    <r>
      <rPr>
        <rFont val="Times New Roman"/>
        <color theme="1"/>
        <sz val="11.0"/>
      </rPr>
      <t>5120t/y (REO, containing 200t/y Dy2O3)</t>
    </r>
  </si>
  <si>
    <t>https://leadingedgematerials.com/norra-karr/</t>
  </si>
  <si>
    <t>Saskatoon plant</t>
  </si>
  <si>
    <t>P, 3(2023)</t>
  </si>
  <si>
    <t>Nechalacho</t>
  </si>
  <si>
    <t>Ngualla plant</t>
  </si>
  <si>
    <t>southern tanzania</t>
  </si>
  <si>
    <r>
      <rPr>
        <rFont val="Times New Roman"/>
        <color theme="1"/>
        <sz val="11.0"/>
      </rPr>
      <t>32700t (concentration, containing REO 14700t )</t>
    </r>
  </si>
  <si>
    <t>Tees Valley plant</t>
  </si>
  <si>
    <t>Tees Valley rare earth refinery</t>
  </si>
  <si>
    <t>Wilton International, Teeside, UK</t>
  </si>
  <si>
    <t>neodymium praseodymium oxide, 2810t; Lanthanum oxide, 4230t/y; Cerium oxide, 1920t/y; 330t/y mixed HREE. (Total 9300t/y)</t>
  </si>
  <si>
    <t>200121-Updated-PP-Handout-CN</t>
  </si>
  <si>
    <t>Powering the green transformation</t>
  </si>
  <si>
    <t>https://peakrareearths.com/teesside-refinery/</t>
  </si>
  <si>
    <t>Browns Range pilot plant</t>
  </si>
  <si>
    <t>Browns Range</t>
  </si>
  <si>
    <t>https://northernminerals.com.au/</t>
  </si>
  <si>
    <t>Wheat Ridge pilot separation plant</t>
  </si>
  <si>
    <t>Merry Ridge, Colorado, USA</t>
  </si>
  <si>
    <r>
      <rPr>
        <rFont val="Times New Roman"/>
        <color theme="1"/>
        <sz val="11.0"/>
      </rPr>
      <t>2313t/y</t>
    </r>
  </si>
  <si>
    <t>Arafura Resources</t>
  </si>
  <si>
    <t>Neo magnet factory</t>
  </si>
  <si>
    <t>neo-magnet manufacturing facility</t>
  </si>
  <si>
    <t>Stillwater, Oklahoma</t>
  </si>
  <si>
    <t>P, 5(?)</t>
  </si>
  <si>
    <t>Wheat Ridge plant</t>
  </si>
  <si>
    <t>https://apnews.com/article/politics-china-united-states-oklahoma-stillwater-a7ed6424f2975c41bca402a84df52998</t>
  </si>
  <si>
    <t>Nolans plant</t>
  </si>
  <si>
    <r>
      <rPr>
        <rFont val="Times New Roman"/>
        <color theme="1"/>
        <sz val="11.0"/>
      </rPr>
      <t>4440t/y (PrNd oxide); 470t/y (mixed MREO and HREO)</t>
    </r>
  </si>
  <si>
    <t>https://www.arultd.com/projects/nolans.html#nolans-img</t>
  </si>
  <si>
    <t>Rare Earth Separation Plant for HREE</t>
  </si>
  <si>
    <t>Ketchikan, Southeast Alaska,USA</t>
  </si>
  <si>
    <t>P,4(2023)</t>
  </si>
  <si>
    <r>
      <rPr>
        <rFont val="Times New Roman"/>
        <color theme="1"/>
        <sz val="11.0"/>
      </rPr>
      <t>2250t/y (REO)</t>
    </r>
  </si>
  <si>
    <t>US-allied feedstock(s); BokanMountain</t>
  </si>
  <si>
    <t>https://ucore.com/ucore-chairman-ceo-provides-strategic-update-to-shareholders-taking-action-today-to-secure-tomorrow/</t>
  </si>
  <si>
    <t>Bokan-Dotson Ridge Economics Impacts Report</t>
  </si>
  <si>
    <t>Lower 48’ SMC</t>
  </si>
  <si>
    <t>P</t>
  </si>
  <si>
    <t>Strange Lake plant</t>
  </si>
  <si>
    <t>P, 1(2024)</t>
  </si>
  <si>
    <t>1346kt/y (ore)</t>
  </si>
  <si>
    <t>Becancour plant</t>
  </si>
  <si>
    <t>Becancour Rare Earth Separation Plant</t>
  </si>
  <si>
    <t>Becancour, Quebec, Canada</t>
  </si>
  <si>
    <t>P, 3(2024)</t>
  </si>
  <si>
    <t>11150t/y (REO)</t>
  </si>
  <si>
    <t>Medallion resources LTD.</t>
  </si>
  <si>
    <t>Refining of PrNd oxide from monazite</t>
  </si>
  <si>
    <r>
      <rPr>
        <rFont val="Times New Roman"/>
        <color theme="1"/>
        <sz val="11.0"/>
      </rPr>
      <t>870t/y (PrNd oxide)</t>
    </r>
  </si>
  <si>
    <r>
      <rPr>
        <rFont val="Times New Roman"/>
        <color theme="1"/>
        <sz val="11.0"/>
      </rPr>
      <t>America and Australia monazite sand</t>
    </r>
  </si>
  <si>
    <r>
      <rPr>
        <rFont val="Times New Roman"/>
        <color theme="1"/>
        <sz val="11.0"/>
      </rPr>
      <t>https://www.ccmn.cn/news/ZX018/202106/98f2f89eef014e16a57e2fd82a8ca9fb.html</t>
    </r>
    <r>
      <rPr>
        <rFont val="宋体"/>
        <color theme="1"/>
        <sz val="11.0"/>
      </rPr>
      <t>；</t>
    </r>
    <r>
      <rPr>
        <rFont val="Times New Roman"/>
        <color theme="1"/>
        <sz val="11.0"/>
      </rPr>
      <t>https://medallionresources.com/2020/10/medallion-completes-siting-study-for-north-american-rare-earth-element-production-facility/</t>
    </r>
  </si>
  <si>
    <t>https://medallionresources.com/2021/07/completion-of-techno-economic-assessment/</t>
  </si>
  <si>
    <r>
      <rPr>
        <rFont val="Times New Roman"/>
        <color theme="1"/>
        <sz val="11.0"/>
      </rPr>
      <t>https://medallionresources.com/2021/07/loi-partnership-medallion-monazite-process-se-australia/</t>
    </r>
    <r>
      <rPr>
        <rFont val="宋体"/>
        <color theme="1"/>
        <sz val="11.0"/>
      </rPr>
      <t>；</t>
    </r>
    <r>
      <rPr>
        <rFont val="Times New Roman"/>
        <color theme="1"/>
        <sz val="11.0"/>
      </rPr>
      <t>https://www.ccmn.cn/news/ZX018/202106/98f2f89eef014e16a57e2fd82a8ca9fb.html</t>
    </r>
  </si>
  <si>
    <t>Wyoming refining Plant</t>
  </si>
  <si>
    <t>Upton,Wyoming, USA</t>
  </si>
  <si>
    <t>1000t (ore)</t>
  </si>
  <si>
    <t>http://www.rareelementresources.com/investor-information/overview/2021/05/17/rare-element-resources-reports-progress-on-u.s.-department-of-energy-funding-for-rare-earth-separation-and-processing-demonstration-plant#.YP6lJ-gzYdU</t>
  </si>
  <si>
    <t>June 2021 Corporate Presentation</t>
  </si>
  <si>
    <t>Shin-Etsu Chemical Co. Ltd</t>
  </si>
  <si>
    <t>Vietnam Magnet plant</t>
  </si>
  <si>
    <t>Hai Phong, Vietnam</t>
  </si>
  <si>
    <r>
      <rPr>
        <rFont val="Times New Roman"/>
        <color theme="1"/>
        <sz val="11.0"/>
      </rPr>
      <t>2200t/y (Rare earth magnets)</t>
    </r>
  </si>
  <si>
    <t>Vietnam, China</t>
  </si>
  <si>
    <t>https://finance.huanqiu.com/article/9CaKrnJu0PB</t>
  </si>
  <si>
    <t>Thailand magnet plant</t>
  </si>
  <si>
    <t>Pathumthani, Thailand</t>
  </si>
  <si>
    <t>https://www.shinetsu-rare-earth-magnet.jp/e/profile/</t>
  </si>
  <si>
    <t>Malaysia plant</t>
  </si>
  <si>
    <t>Shah Alam, Selangor Darul Ehsan, Malaysia</t>
  </si>
  <si>
    <t>Takefu plant</t>
  </si>
  <si>
    <t>Fukui, Japan</t>
  </si>
  <si>
    <t>Yangibana plant</t>
  </si>
  <si>
    <t>Gascoyne Region, Australia (about 251 km northeast of Carnarvon)</t>
  </si>
  <si>
    <r>
      <rPr>
        <rFont val="Times New Roman"/>
        <color theme="1"/>
        <sz val="11.0"/>
      </rPr>
      <t>1200kt/y (ore)</t>
    </r>
  </si>
  <si>
    <t>2020111 presentation</t>
  </si>
  <si>
    <t>Onslow hydrometallurgical Rare Earth processing plant</t>
  </si>
  <si>
    <t>Onslow town, Australia</t>
  </si>
  <si>
    <t>P,3(?)</t>
  </si>
  <si>
    <t>8500 t/y (TREO)</t>
  </si>
  <si>
    <r>
      <rPr>
        <rFont val="Times New Roman"/>
        <color theme="1"/>
        <sz val="11.0"/>
      </rPr>
      <t>Yangibana</t>
    </r>
  </si>
  <si>
    <t>202111presentation</t>
  </si>
  <si>
    <t>Gakara plant</t>
  </si>
  <si>
    <t>Burundi</t>
  </si>
  <si>
    <t>10-20kt/y (concentration)</t>
  </si>
  <si>
    <r>
      <rPr>
        <rFont val="Times New Roman"/>
        <color theme="1"/>
        <sz val="11.0"/>
      </rPr>
      <t>5000t/y (REO concentration)</t>
    </r>
  </si>
  <si>
    <t>Gakara</t>
  </si>
  <si>
    <t>East African port of ThyssenKrupp Materials Trading</t>
  </si>
  <si>
    <t>2020 annual report</t>
  </si>
  <si>
    <t>https://rainbowrareearths.com/our-projects/gakara-project/</t>
  </si>
  <si>
    <r>
      <rPr>
        <rFont val="Times New Roman"/>
        <color theme="1"/>
        <sz val="11.0"/>
      </rPr>
      <t>https://rainbowrareearths.com/our-projects/gakara-project/</t>
    </r>
    <r>
      <rPr>
        <rFont val="宋体"/>
        <color theme="1"/>
        <sz val="11.0"/>
      </rPr>
      <t>；</t>
    </r>
    <r>
      <rPr>
        <rFont val="Times New Roman"/>
        <color theme="1"/>
        <sz val="11.0"/>
      </rPr>
      <t>2020</t>
    </r>
    <r>
      <rPr>
        <rFont val="宋体"/>
        <color theme="1"/>
        <sz val="11.0"/>
      </rPr>
      <t>年报</t>
    </r>
  </si>
  <si>
    <t>Makuutu processing plant</t>
  </si>
  <si>
    <t>121km east of Kampala, Uganda</t>
  </si>
  <si>
    <t>Manvalkurichi (Tamil Nadu) Mineral sorting plant</t>
  </si>
  <si>
    <t>https://www.indiamart.com/indian-rare-earths-ltd-kanyakumari/about-us.html</t>
  </si>
  <si>
    <t>Odisha Rare Earth Refinery</t>
  </si>
  <si>
    <t>Odisha, India</t>
  </si>
  <si>
    <t>11000t</t>
  </si>
  <si>
    <t>Aluva high purity Rare Earth Refinery</t>
  </si>
  <si>
    <t>Aluva, Kerala, India</t>
  </si>
  <si>
    <t>3000t/y</t>
  </si>
  <si>
    <r>
      <rPr>
        <rFont val="Times New Roman"/>
        <color theme="1"/>
        <sz val="11.0"/>
      </rPr>
      <t>https://www.indiamart.com/indian-rare-earths-ltd-kanyakumari/about-us.html</t>
    </r>
    <r>
      <rPr>
        <rFont val="等线"/>
        <color theme="1"/>
        <sz val="11.0"/>
      </rPr>
      <t>；印度稀土有限公司聘请特许会计师事务所作为外包内部审计师的建议书</t>
    </r>
    <r>
      <rPr>
        <rFont val="Times New Roman"/>
        <color theme="1"/>
        <sz val="11.0"/>
      </rPr>
      <t>(RFP),OSCOM</t>
    </r>
    <r>
      <rPr>
        <rFont val="等线"/>
        <color theme="1"/>
        <sz val="11.0"/>
      </rPr>
      <t>单位</t>
    </r>
    <r>
      <rPr>
        <rFont val="Times New Roman"/>
        <color theme="1"/>
        <sz val="11.0"/>
      </rPr>
      <t>,ODISHA; https://www.indiamart.com/indian-rare-earths-ltd-kanyakumari/about-us.html</t>
    </r>
    <r>
      <rPr>
        <rFont val="等线"/>
        <color theme="1"/>
        <sz val="11.0"/>
      </rPr>
      <t>；</t>
    </r>
    <r>
      <rPr>
        <rFont val="Times New Roman"/>
        <color theme="1"/>
        <sz val="11.0"/>
      </rPr>
      <t>https://economictimes.indiatimes.com/company/indian-rare-earths-limited/U15100MH1950GOI008187</t>
    </r>
  </si>
  <si>
    <t>USGS, 2021</t>
  </si>
  <si>
    <t>Songwe Hill plant</t>
  </si>
  <si>
    <t>P, 3(2022)</t>
  </si>
  <si>
    <t>Pulawy rare earth separation plant</t>
  </si>
  <si>
    <t>Pulawy, Poland</t>
  </si>
  <si>
    <r>
      <rPr>
        <rFont val="Times New Roman"/>
        <color theme="1"/>
        <sz val="11.0"/>
      </rPr>
      <t>2000t/y (PrNd oxide), 50t/y (DyTb carbonate)</t>
    </r>
  </si>
  <si>
    <t>https://www.mkango.ca/news/mkango-to-create-european-rare-earths-hub-in-poland-with-grupa-azoty-pulawy-polands-leading-fertiliser-and-chemicals-company/</t>
  </si>
  <si>
    <t>Ashram plant</t>
  </si>
  <si>
    <t>Quebec Precious Metals Corp</t>
  </si>
  <si>
    <t>Kipawa plant</t>
  </si>
  <si>
    <t>PT</t>
  </si>
  <si>
    <r>
      <rPr>
        <rFont val="Times New Roman"/>
        <color theme="1"/>
        <sz val="11.0"/>
      </rPr>
      <t>3653t/y (REO)</t>
    </r>
  </si>
  <si>
    <t>Kipawa</t>
  </si>
  <si>
    <r>
      <rPr>
        <rFont val="Times New Roman"/>
        <color theme="1"/>
        <sz val="11.0"/>
      </rPr>
      <t>Steenkampskraal Holdings Ltd</t>
    </r>
    <r>
      <rPr>
        <rFont val="宋体"/>
        <color theme="1"/>
        <sz val="11.0"/>
      </rPr>
      <t>（</t>
    </r>
    <r>
      <rPr>
        <rFont val="Times New Roman"/>
        <color theme="1"/>
        <sz val="11.0"/>
      </rPr>
      <t>Steenkampskraal monazite mine (PTY) LTD</t>
    </r>
    <r>
      <rPr>
        <rFont val="宋体"/>
        <color theme="1"/>
        <sz val="11.0"/>
      </rPr>
      <t>）</t>
    </r>
  </si>
  <si>
    <r>
      <rPr>
        <rFont val="Times New Roman"/>
        <color theme="1"/>
        <sz val="11.0"/>
      </rPr>
      <t>Steenkampskraal</t>
    </r>
    <r>
      <rPr>
        <rFont val="宋体"/>
        <color theme="1"/>
        <sz val="11.0"/>
      </rPr>
      <t>矿山加工厂</t>
    </r>
  </si>
  <si>
    <t>P, 3(?)</t>
  </si>
  <si>
    <r>
      <rPr>
        <rFont val="Times New Roman"/>
        <color theme="1"/>
        <sz val="11.0"/>
      </rPr>
      <t>2700t/y</t>
    </r>
  </si>
  <si>
    <t>https://www.steenkampskraal.com/attributes/</t>
  </si>
  <si>
    <t>Brazil Rare Earth Refinery 1</t>
  </si>
  <si>
    <t>http://www.canadarareearth.com/9-june-2020</t>
  </si>
  <si>
    <t>Brazil Rare Earth Refinery 2</t>
  </si>
  <si>
    <t>Laos Rare Earth Refinery</t>
  </si>
  <si>
    <t>Laos</t>
  </si>
  <si>
    <t>500-12000t/y</t>
  </si>
  <si>
    <t>Ottawa Pilot Processing Plant</t>
  </si>
  <si>
    <t>Ottawa, Ontario, Canada</t>
  </si>
  <si>
    <r>
      <rPr>
        <rFont val="Times New Roman"/>
        <color theme="1"/>
        <sz val="11.0"/>
      </rPr>
      <t>16850t/y</t>
    </r>
  </si>
  <si>
    <t>https://commerceresources.com/commerce-resources-corp-announces-flotation-pilot-plant-as-part-of-the-canmetmining-collaboration-on-the-ashram-rare-earth-and-fluorspar-deposit/</t>
  </si>
  <si>
    <t>Krasnokamensk Hydrometallurgical Facility</t>
  </si>
  <si>
    <t>Krasnokamensk, Transbaikal Krai, Russia</t>
  </si>
  <si>
    <t>P, 4(2024)</t>
  </si>
  <si>
    <r>
      <rPr>
        <rFont val="Times New Roman"/>
        <color theme="1"/>
        <sz val="11.0"/>
      </rPr>
      <t>3571t/y La2O3; 6625t/y Ce2O3; 650t/y Pr6O11; 1964t/y Nd2O3; 1844t/y MREE and HREE enriched concentration</t>
    </r>
  </si>
  <si>
    <r>
      <rPr>
        <rFont val="Times New Roman"/>
        <color theme="1"/>
        <sz val="11.0"/>
      </rPr>
      <t>https://www.threearc.ru/en/</t>
    </r>
    <r>
      <rPr>
        <rFont val="宋体"/>
        <color theme="1"/>
        <sz val="11.0"/>
      </rPr>
      <t>；</t>
    </r>
    <r>
      <rPr>
        <rFont val="Times New Roman"/>
        <color theme="1"/>
        <sz val="11.0"/>
      </rPr>
      <t>https://threearc.ru/en/pererabotka-rudy.php</t>
    </r>
  </si>
  <si>
    <r>
      <rPr>
        <rFont val="Times New Roman"/>
        <color theme="1"/>
        <sz val="11.0"/>
      </rPr>
      <t>https://threearc.ru/en/news/detail.php?ID=202</t>
    </r>
    <r>
      <rPr>
        <rFont val="宋体"/>
        <color theme="1"/>
        <sz val="11.0"/>
      </rPr>
      <t>；俄罗斯自然资源部</t>
    </r>
    <r>
      <rPr>
        <rFont val="Times New Roman"/>
        <color theme="1"/>
        <sz val="11.0"/>
      </rPr>
      <t>2021</t>
    </r>
    <r>
      <rPr>
        <rFont val="宋体"/>
        <color theme="1"/>
        <sz val="11.0"/>
      </rPr>
      <t>报告</t>
    </r>
  </si>
  <si>
    <t>https://threearc.ru/en/news/detail.php?ID=202</t>
  </si>
  <si>
    <t>Karnasurt plant</t>
  </si>
  <si>
    <t>Murmansk Region, Russia</t>
  </si>
  <si>
    <r>
      <rPr>
        <rFont val="Times New Roman"/>
        <color theme="1"/>
        <sz val="11.0"/>
      </rPr>
      <t>9542t/y (loparite concentration)</t>
    </r>
  </si>
  <si>
    <t>Lovozersky</t>
  </si>
  <si>
    <t>OAO Solikamsk Magnesium plant</t>
  </si>
  <si>
    <t>OJSC "Solikamsk Magnesium Plant"</t>
  </si>
  <si>
    <t>Perm region, Russia</t>
  </si>
  <si>
    <r>
      <rPr>
        <rFont val="Times New Roman"/>
        <color theme="1"/>
        <sz val="11.0"/>
      </rPr>
      <t>2700t/y (REO)</t>
    </r>
  </si>
  <si>
    <t>Silmet plant</t>
  </si>
  <si>
    <t>PJSC PhosAgro Cherepovets (pilot production)</t>
  </si>
  <si>
    <t>Cherepovets, Vologda region</t>
  </si>
  <si>
    <t>Oriental Plant</t>
  </si>
  <si>
    <t>Koashvinskoe</t>
  </si>
  <si>
    <t>Kirovsky Plant</t>
  </si>
  <si>
    <t>Kukisvumchorr, Yuksporskoe</t>
  </si>
  <si>
    <t xml:space="preserve">PJSC Acron </t>
  </si>
  <si>
    <t>PJSC Acron Veliky Novgorod (industrial site)</t>
  </si>
  <si>
    <t>Deer Creek, Partomchorrskoye</t>
  </si>
  <si>
    <t>LIT LLC</t>
  </si>
  <si>
    <t>Rare Earth Refinery</t>
  </si>
  <si>
    <t>Solikamsk city (Perm region), Russia</t>
  </si>
  <si>
    <r>
      <rPr>
        <rFont val="Times New Roman"/>
        <color theme="1"/>
        <sz val="11.0"/>
      </rPr>
      <t>processing concentration 1000t/y</t>
    </r>
  </si>
  <si>
    <t>JSC Solikamsk</t>
  </si>
  <si>
    <t>Zandkopsdrift Plant</t>
  </si>
  <si>
    <t>Northern cape ,South Africa</t>
  </si>
  <si>
    <r>
      <rPr>
        <rFont val="Times New Roman"/>
        <color theme="1"/>
        <sz val="11.0"/>
      </rPr>
      <t>Zandkopsdrift</t>
    </r>
    <r>
      <rPr>
        <rFont val="宋体"/>
        <color theme="1"/>
        <sz val="11.0"/>
      </rPr>
      <t>项目</t>
    </r>
  </si>
  <si>
    <t>Saldanha Rare Earth Separation Plant</t>
  </si>
  <si>
    <t>Saldanha, South Africa</t>
  </si>
  <si>
    <t>Zandkopsdrift plant</t>
  </si>
  <si>
    <t>South Korea</t>
  </si>
  <si>
    <t>Hochschild Mining</t>
  </si>
  <si>
    <t>REE refine Factory</t>
  </si>
  <si>
    <t>http://biolantanidos.com/proyecto.html</t>
  </si>
  <si>
    <t>Primary Production Plant</t>
  </si>
  <si>
    <t>Hydrometallurgical Processing Plant</t>
  </si>
  <si>
    <t>Island of Newfoundland</t>
  </si>
  <si>
    <t>Rare Earth Separation Processing</t>
  </si>
  <si>
    <t>Kwyjibo concentrator factore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</si>
</sst>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theme="1"/>
      <name val="Arial"/>
    </font>
    <font>
      <b/>
      <sz val="11.0"/>
      <color theme="1"/>
      <name val="Times New Roman"/>
    </font>
    <font>
      <sz val="11.0"/>
      <color theme="1"/>
      <name val="Times New Roman"/>
    </font>
    <font>
      <sz val="12.0"/>
      <color rgb="FF222222"/>
      <name val="Times New Roman"/>
    </font>
    <font>
      <sz val="12.0"/>
      <color rgb="FF000000"/>
      <name val="Times New Roman"/>
    </font>
    <font>
      <sz val="10.0"/>
      <color rgb="FF222222"/>
      <name val="Times New Roman"/>
    </font>
    <font>
      <b/>
      <sz val="11.0"/>
      <color theme="1"/>
      <name val="SimSun"/>
    </font>
    <font>
      <u/>
      <sz val="11.0"/>
      <color theme="1"/>
      <name val="Times New Roman"/>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1" fillId="0" fontId="2" numFmtId="0" xfId="0" applyAlignment="1" applyBorder="1" applyFont="1">
      <alignment horizontal="left" vertical="center"/>
    </xf>
    <xf borderId="0" fillId="0" fontId="2" numFmtId="0" xfId="0" applyAlignment="1" applyFont="1">
      <alignment vertical="center"/>
    </xf>
    <xf borderId="1" fillId="0" fontId="2" numFmtId="0" xfId="0" applyAlignment="1" applyBorder="1" applyFont="1">
      <alignment vertical="center"/>
    </xf>
    <xf borderId="0" fillId="0" fontId="3" numFmtId="0" xfId="0" applyAlignment="1" applyFont="1">
      <alignment horizontal="left" vertical="center"/>
    </xf>
    <xf borderId="0" fillId="0" fontId="3" numFmtId="0" xfId="0" applyAlignment="1" applyFont="1">
      <alignment vertical="center"/>
    </xf>
    <xf borderId="0" fillId="0" fontId="3" numFmtId="0" xfId="0" applyAlignment="1" applyFont="1">
      <alignment shrinkToFit="0" vertical="center" wrapText="1"/>
    </xf>
    <xf borderId="0" fillId="0" fontId="4" numFmtId="0" xfId="0" applyAlignment="1" applyFont="1">
      <alignment horizontal="left" vertical="center"/>
    </xf>
    <xf borderId="0" fillId="0" fontId="3" numFmtId="0" xfId="0" applyFont="1"/>
    <xf borderId="0" fillId="0" fontId="5" numFmtId="0" xfId="0" applyAlignment="1" applyFont="1">
      <alignment vertical="center"/>
    </xf>
    <xf borderId="0" fillId="0" fontId="6" numFmtId="0" xfId="0" applyAlignment="1" applyFont="1">
      <alignment vertical="center"/>
    </xf>
    <xf borderId="1" fillId="0" fontId="2"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0" fillId="0" fontId="3" numFmtId="0" xfId="0" applyAlignment="1" applyFont="1">
      <alignment horizontal="left" shrinkToFit="0" vertical="center" wrapText="1"/>
    </xf>
    <xf borderId="0" fillId="0" fontId="3" numFmtId="18" xfId="0" applyAlignment="1" applyFont="1" applyNumberFormat="1">
      <alignment horizontal="left" vertical="center"/>
    </xf>
    <xf borderId="0" fillId="0" fontId="8"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71"/>
    <col customWidth="1" min="2" max="2" width="6.0"/>
    <col customWidth="1" min="3" max="3" width="19.71"/>
    <col customWidth="1" min="4" max="4" width="23.14"/>
    <col customWidth="1" min="5" max="6" width="27.71"/>
    <col customWidth="1" min="7" max="7" width="181.57"/>
    <col customWidth="1" min="8" max="8" width="16.29"/>
    <col customWidth="1" min="9" max="9" width="11.43"/>
    <col customWidth="1" min="10" max="10" width="8.57"/>
    <col customWidth="1" min="11" max="13" width="13.0"/>
    <col customWidth="1" min="14" max="14" width="11.86"/>
    <col customWidth="1" min="15" max="25" width="13.0"/>
    <col customWidth="1" min="26" max="26" width="22.14"/>
    <col customWidth="1" min="27" max="27" width="31.43"/>
    <col customWidth="1" min="28" max="31" width="75.0"/>
  </cols>
  <sheetData>
    <row r="1" ht="13.5" customHeight="1">
      <c r="A1" s="1" t="s">
        <v>0</v>
      </c>
      <c r="B1" s="1"/>
      <c r="C1" s="1"/>
      <c r="D1" s="1"/>
      <c r="E1" s="2"/>
      <c r="F1" s="2"/>
      <c r="G1" s="2"/>
      <c r="H1" s="2"/>
      <c r="I1" s="1"/>
      <c r="J1" s="1"/>
      <c r="K1" s="1"/>
      <c r="L1" s="1"/>
      <c r="M1" s="1"/>
      <c r="N1" s="1"/>
      <c r="O1" s="1"/>
      <c r="P1" s="1"/>
      <c r="Q1" s="1"/>
      <c r="R1" s="1"/>
      <c r="S1" s="1"/>
      <c r="T1" s="1"/>
      <c r="U1" s="1"/>
      <c r="V1" s="1"/>
      <c r="W1" s="1"/>
      <c r="X1" s="1"/>
      <c r="Y1" s="1"/>
      <c r="Z1" s="1"/>
      <c r="AA1" s="1"/>
      <c r="AB1" s="1"/>
      <c r="AC1" s="1"/>
      <c r="AD1" s="1"/>
      <c r="AE1" s="1"/>
    </row>
    <row r="2" ht="29.25"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4" t="s">
        <v>28</v>
      </c>
      <c r="AC2" s="5" t="s">
        <v>29</v>
      </c>
      <c r="AD2" s="5" t="s">
        <v>30</v>
      </c>
      <c r="AE2" s="5"/>
    </row>
    <row r="3" ht="15.0" customHeight="1">
      <c r="A3" s="6">
        <v>1.0</v>
      </c>
      <c r="B3" s="6">
        <v>1.0</v>
      </c>
      <c r="C3" s="6" t="s">
        <v>31</v>
      </c>
      <c r="D3" s="6" t="s">
        <v>32</v>
      </c>
      <c r="E3" s="6" t="s">
        <v>33</v>
      </c>
      <c r="F3" s="6" t="s">
        <v>34</v>
      </c>
      <c r="G3" s="6">
        <v>4.0</v>
      </c>
      <c r="H3" s="6" t="s">
        <v>35</v>
      </c>
      <c r="I3" s="6">
        <v>300.0</v>
      </c>
      <c r="J3" s="6">
        <v>5.4</v>
      </c>
      <c r="K3" s="6">
        <v>24.112125824454587</v>
      </c>
      <c r="L3" s="6">
        <v>45.662100456621</v>
      </c>
      <c r="M3" s="6">
        <v>5.073566717402334</v>
      </c>
      <c r="N3" s="6">
        <v>18.074581430745813</v>
      </c>
      <c r="O3" s="6">
        <v>2.524099441907661</v>
      </c>
      <c r="P3" s="6">
        <v>0.5834601725012682</v>
      </c>
      <c r="Q3" s="6">
        <v>1.293759512937595</v>
      </c>
      <c r="R3" s="6">
        <v>0.13952308472856415</v>
      </c>
      <c r="S3" s="6">
        <v>0.4819888381532216</v>
      </c>
      <c r="T3" s="6">
        <v>0.06341958396752917</v>
      </c>
      <c r="U3" s="6">
        <v>0.13952308472856415</v>
      </c>
      <c r="V3" s="6">
        <v>0.012683916793505834</v>
      </c>
      <c r="W3" s="6">
        <v>0.06341958396752917</v>
      </c>
      <c r="X3" s="6">
        <v>0.0</v>
      </c>
      <c r="Y3" s="6">
        <v>1.7757483510908167</v>
      </c>
      <c r="Z3" s="6">
        <v>3.9700659563673257</v>
      </c>
      <c r="AA3" s="6" t="s">
        <v>36</v>
      </c>
      <c r="AB3" s="7" t="s">
        <v>37</v>
      </c>
      <c r="AC3" s="7" t="s">
        <v>38</v>
      </c>
      <c r="AD3" s="7" t="s">
        <v>38</v>
      </c>
      <c r="AE3" s="7"/>
    </row>
    <row r="4" ht="13.5" customHeight="1">
      <c r="A4" s="6">
        <f t="shared" ref="A4:B4" si="1">A3+1</f>
        <v>2</v>
      </c>
      <c r="B4" s="6">
        <f t="shared" si="1"/>
        <v>2</v>
      </c>
      <c r="C4" s="6" t="s">
        <v>39</v>
      </c>
      <c r="D4" s="6" t="s">
        <v>40</v>
      </c>
      <c r="E4" s="6" t="s">
        <v>41</v>
      </c>
      <c r="F4" s="6" t="s">
        <v>42</v>
      </c>
      <c r="G4" s="6">
        <v>4.0</v>
      </c>
      <c r="H4" s="6" t="s">
        <v>35</v>
      </c>
      <c r="I4" s="6">
        <v>418.3</v>
      </c>
      <c r="J4" s="6">
        <v>8.9</v>
      </c>
      <c r="K4" s="6">
        <v>33.20134023758757</v>
      </c>
      <c r="L4" s="6">
        <v>49.10143161742309</v>
      </c>
      <c r="M4" s="6">
        <v>4.294852269265914</v>
      </c>
      <c r="N4" s="6">
        <v>12.001218397806882</v>
      </c>
      <c r="O4" s="6">
        <v>0.8071885470606153</v>
      </c>
      <c r="P4" s="6">
        <v>0.10660980810234541</v>
      </c>
      <c r="Q4" s="6">
        <v>0.19798964361864146</v>
      </c>
      <c r="R4" s="6">
        <v>0.06091989034419737</v>
      </c>
      <c r="S4" s="6">
        <v>0.045689917758148034</v>
      </c>
      <c r="T4" s="6">
        <v>0.015229972586049342</v>
      </c>
      <c r="U4" s="6">
        <v>0.015229972586049342</v>
      </c>
      <c r="V4" s="6">
        <v>0.015229972586049342</v>
      </c>
      <c r="W4" s="6">
        <v>0.015229972586049342</v>
      </c>
      <c r="X4" s="6">
        <v>0.015229972586049342</v>
      </c>
      <c r="Y4" s="6">
        <v>0.10660980810234541</v>
      </c>
      <c r="Z4" s="6">
        <v>0.48735912275357907</v>
      </c>
      <c r="AA4" s="6" t="s">
        <v>36</v>
      </c>
      <c r="AB4" s="7" t="s">
        <v>43</v>
      </c>
      <c r="AC4" s="7" t="s">
        <v>44</v>
      </c>
      <c r="AD4" s="7" t="s">
        <v>44</v>
      </c>
      <c r="AE4" s="7"/>
    </row>
    <row r="5" ht="15.0" customHeight="1">
      <c r="A5" s="6">
        <f t="shared" ref="A5:B5" si="2">A4+1</f>
        <v>3</v>
      </c>
      <c r="B5" s="6">
        <f t="shared" si="2"/>
        <v>3</v>
      </c>
      <c r="C5" s="6" t="s">
        <v>45</v>
      </c>
      <c r="D5" s="6" t="s">
        <v>46</v>
      </c>
      <c r="E5" s="6" t="s">
        <v>47</v>
      </c>
      <c r="F5" s="6" t="s">
        <v>34</v>
      </c>
      <c r="G5" s="6">
        <v>4.0</v>
      </c>
      <c r="H5" s="6" t="s">
        <v>48</v>
      </c>
      <c r="I5" s="6">
        <v>7.29</v>
      </c>
      <c r="J5" s="6">
        <v>0.09</v>
      </c>
      <c r="K5" s="6">
        <v>23.335892304776714</v>
      </c>
      <c r="L5" s="6">
        <v>45.80451813711162</v>
      </c>
      <c r="M5" s="6">
        <v>4.06330402829216</v>
      </c>
      <c r="N5" s="6">
        <v>14.213533853907357</v>
      </c>
      <c r="O5" s="6">
        <v>2.502545587701519</v>
      </c>
      <c r="P5" s="6">
        <v>0.0</v>
      </c>
      <c r="Q5" s="6">
        <v>1.5973763583159613</v>
      </c>
      <c r="R5" s="6">
        <v>0.0</v>
      </c>
      <c r="S5" s="6">
        <v>0.9099873764546789</v>
      </c>
      <c r="T5" s="6">
        <v>0.11274464141743465</v>
      </c>
      <c r="U5" s="6">
        <v>0.4782813990614251</v>
      </c>
      <c r="V5" s="6">
        <v>0.06745405896769595</v>
      </c>
      <c r="W5" s="6">
        <v>0.4394150127038478</v>
      </c>
      <c r="X5" s="6">
        <v>0.0520359883465083</v>
      </c>
      <c r="Y5" s="6">
        <v>6.422911252943085</v>
      </c>
      <c r="Z5" s="6">
        <v>10.080206088210637</v>
      </c>
      <c r="AA5" s="6" t="s">
        <v>49</v>
      </c>
      <c r="AB5" s="7" t="s">
        <v>50</v>
      </c>
      <c r="AC5" s="7" t="s">
        <v>50</v>
      </c>
      <c r="AD5" s="8" t="s">
        <v>50</v>
      </c>
      <c r="AE5" s="7"/>
    </row>
    <row r="6" ht="13.5" customHeight="1">
      <c r="A6" s="6">
        <f t="shared" ref="A6:B6" si="3">A5+1</f>
        <v>4</v>
      </c>
      <c r="B6" s="6">
        <f t="shared" si="3"/>
        <v>4</v>
      </c>
      <c r="D6" s="6" t="s">
        <v>51</v>
      </c>
      <c r="E6" s="6" t="s">
        <v>52</v>
      </c>
      <c r="F6" s="6" t="s">
        <v>34</v>
      </c>
      <c r="G6" s="6">
        <v>2.0</v>
      </c>
      <c r="H6" s="6" t="s">
        <v>48</v>
      </c>
      <c r="I6" s="6"/>
      <c r="J6" s="6"/>
      <c r="K6" s="6"/>
      <c r="L6" s="6"/>
      <c r="M6" s="6"/>
      <c r="N6" s="6"/>
      <c r="O6" s="6"/>
      <c r="P6" s="6"/>
      <c r="Q6" s="6"/>
      <c r="R6" s="6"/>
      <c r="S6" s="6"/>
      <c r="T6" s="6"/>
      <c r="U6" s="6"/>
      <c r="V6" s="6"/>
      <c r="W6" s="6"/>
      <c r="X6" s="6"/>
      <c r="Y6" s="6"/>
      <c r="Z6" s="6"/>
      <c r="AA6" s="6"/>
      <c r="AB6" s="7" t="s">
        <v>53</v>
      </c>
      <c r="AC6" s="7" t="s">
        <v>53</v>
      </c>
      <c r="AD6" s="7"/>
      <c r="AE6" s="7"/>
    </row>
    <row r="7" ht="13.5" customHeight="1">
      <c r="A7" s="6">
        <f t="shared" ref="A7:B7" si="4">A6+1</f>
        <v>5</v>
      </c>
      <c r="B7" s="6">
        <f t="shared" si="4"/>
        <v>5</v>
      </c>
      <c r="C7" s="6" t="s">
        <v>54</v>
      </c>
      <c r="D7" s="6" t="s">
        <v>55</v>
      </c>
      <c r="E7" s="6" t="s">
        <v>56</v>
      </c>
      <c r="F7" s="6" t="s">
        <v>34</v>
      </c>
      <c r="G7" s="6" t="s">
        <v>57</v>
      </c>
      <c r="H7" s="6" t="s">
        <v>58</v>
      </c>
      <c r="I7" s="6">
        <v>55.63</v>
      </c>
      <c r="J7" s="6">
        <v>0.74</v>
      </c>
      <c r="K7" s="6">
        <v>19.572553430821145</v>
      </c>
      <c r="L7" s="6">
        <v>36.895388076490434</v>
      </c>
      <c r="M7" s="6">
        <v>4.04949381327334</v>
      </c>
      <c r="N7" s="6">
        <v>14.173228346456689</v>
      </c>
      <c r="O7" s="6">
        <v>2.137232845894263</v>
      </c>
      <c r="P7" s="6">
        <v>0.11248593925759279</v>
      </c>
      <c r="Q7" s="6">
        <v>2.137232845894263</v>
      </c>
      <c r="R7" s="6">
        <v>0.33745781777277833</v>
      </c>
      <c r="S7" s="6">
        <v>2.02474690663667</v>
      </c>
      <c r="T7" s="6">
        <v>0.33745781777277833</v>
      </c>
      <c r="U7" s="6">
        <v>1.124859392575928</v>
      </c>
      <c r="V7" s="6">
        <v>0.11248593925759279</v>
      </c>
      <c r="W7" s="6">
        <v>1.012373453318335</v>
      </c>
      <c r="X7" s="6">
        <v>0.11248593925759279</v>
      </c>
      <c r="Y7" s="6">
        <v>15.860517435320581</v>
      </c>
      <c r="Z7" s="6">
        <v>23.05961754780652</v>
      </c>
      <c r="AA7" s="6" t="s">
        <v>59</v>
      </c>
      <c r="AB7" s="7" t="s">
        <v>60</v>
      </c>
      <c r="AC7" s="7" t="s">
        <v>61</v>
      </c>
      <c r="AD7" s="7" t="s">
        <v>62</v>
      </c>
      <c r="AE7" s="7"/>
    </row>
    <row r="8" ht="15.0" customHeight="1">
      <c r="A8" s="6">
        <f t="shared" ref="A8:B8" si="5">A7+1</f>
        <v>6</v>
      </c>
      <c r="B8" s="6">
        <f t="shared" si="5"/>
        <v>6</v>
      </c>
      <c r="C8" s="6" t="s">
        <v>63</v>
      </c>
      <c r="D8" s="6" t="s">
        <v>64</v>
      </c>
      <c r="E8" s="6" t="s">
        <v>65</v>
      </c>
      <c r="F8" s="6" t="s">
        <v>66</v>
      </c>
      <c r="G8" s="6">
        <v>2.0</v>
      </c>
      <c r="H8" s="6" t="s">
        <v>58</v>
      </c>
      <c r="I8" s="6">
        <v>1114.0</v>
      </c>
      <c r="J8" s="6">
        <v>1.1</v>
      </c>
      <c r="K8" s="6">
        <v>27.685185185185183</v>
      </c>
      <c r="L8" s="6">
        <v>42.407407407407405</v>
      </c>
      <c r="M8" s="6">
        <v>4.0740740740740735</v>
      </c>
      <c r="N8" s="6">
        <v>12.407407407407407</v>
      </c>
      <c r="O8" s="6">
        <v>1.574074074074074</v>
      </c>
      <c r="P8" s="6">
        <v>0.09259259259259259</v>
      </c>
      <c r="Q8" s="6">
        <v>1.111111111111111</v>
      </c>
      <c r="R8" s="6">
        <v>0.18518518518518517</v>
      </c>
      <c r="S8" s="6">
        <v>1.111111111111111</v>
      </c>
      <c r="T8" s="6">
        <v>0.18518518518518517</v>
      </c>
      <c r="U8" s="6">
        <v>0.5555555555555555</v>
      </c>
      <c r="V8" s="6">
        <v>0.09259259259259259</v>
      </c>
      <c r="W8" s="6">
        <v>0.4629629629629629</v>
      </c>
      <c r="X8" s="6">
        <v>0.18518518518518517</v>
      </c>
      <c r="Y8" s="6">
        <v>7.87037037037037</v>
      </c>
      <c r="Z8" s="6">
        <v>11.759259259259258</v>
      </c>
      <c r="AA8" s="6" t="s">
        <v>59</v>
      </c>
      <c r="AB8" s="7" t="s">
        <v>67</v>
      </c>
      <c r="AC8" s="7" t="s">
        <v>68</v>
      </c>
      <c r="AD8" s="7" t="s">
        <v>69</v>
      </c>
      <c r="AE8" s="7"/>
    </row>
    <row r="9" ht="13.5" customHeight="1">
      <c r="A9" s="6">
        <f t="shared" ref="A9:B9" si="6">A8+1</f>
        <v>7</v>
      </c>
      <c r="B9" s="6">
        <f t="shared" si="6"/>
        <v>7</v>
      </c>
      <c r="C9" s="6" t="s">
        <v>70</v>
      </c>
      <c r="D9" s="6" t="s">
        <v>71</v>
      </c>
      <c r="E9" s="6" t="s">
        <v>72</v>
      </c>
      <c r="F9" s="6" t="s">
        <v>73</v>
      </c>
      <c r="G9" s="6">
        <v>1.0</v>
      </c>
      <c r="H9" s="6" t="s">
        <v>35</v>
      </c>
      <c r="I9" s="6"/>
      <c r="J9" s="6"/>
      <c r="K9" s="6"/>
      <c r="L9" s="6"/>
      <c r="M9" s="6"/>
      <c r="N9" s="6"/>
      <c r="O9" s="6"/>
      <c r="P9" s="6"/>
      <c r="Q9" s="6"/>
      <c r="R9" s="6"/>
      <c r="S9" s="6"/>
      <c r="T9" s="6"/>
      <c r="U9" s="6"/>
      <c r="V9" s="6"/>
      <c r="W9" s="6"/>
      <c r="X9" s="6"/>
      <c r="Y9" s="6"/>
      <c r="Z9" s="6"/>
      <c r="AA9" s="6"/>
      <c r="AB9" s="7" t="s">
        <v>74</v>
      </c>
      <c r="AC9" s="7" t="s">
        <v>75</v>
      </c>
      <c r="AD9" s="7"/>
      <c r="AE9" s="7"/>
    </row>
    <row r="10" ht="13.5" customHeight="1">
      <c r="A10" s="6">
        <f t="shared" ref="A10:B10" si="7">A9+1</f>
        <v>8</v>
      </c>
      <c r="B10" s="6">
        <f t="shared" si="7"/>
        <v>8</v>
      </c>
      <c r="D10" s="6" t="s">
        <v>76</v>
      </c>
      <c r="E10" s="6" t="s">
        <v>72</v>
      </c>
      <c r="F10" s="6" t="s">
        <v>73</v>
      </c>
      <c r="G10" s="6" t="s">
        <v>77</v>
      </c>
      <c r="H10" s="6" t="s">
        <v>35</v>
      </c>
      <c r="I10" s="6">
        <v>447.0</v>
      </c>
      <c r="J10" s="6">
        <v>1.43</v>
      </c>
      <c r="K10" s="6">
        <v>23.93</v>
      </c>
      <c r="L10" s="6">
        <v>45.86</v>
      </c>
      <c r="M10" s="6">
        <v>4.94</v>
      </c>
      <c r="N10" s="6">
        <v>17.16</v>
      </c>
      <c r="O10" s="6">
        <v>2.48</v>
      </c>
      <c r="P10" s="6">
        <v>0.58</v>
      </c>
      <c r="Q10" s="6">
        <v>1.23</v>
      </c>
      <c r="R10" s="6">
        <v>0.13</v>
      </c>
      <c r="S10" s="6">
        <v>0.6</v>
      </c>
      <c r="T10" s="6">
        <v>0.09</v>
      </c>
      <c r="U10" s="6">
        <v>0.21</v>
      </c>
      <c r="V10" s="6">
        <v>0.02</v>
      </c>
      <c r="W10" s="6">
        <v>0.11</v>
      </c>
      <c r="X10" s="6">
        <v>0.02</v>
      </c>
      <c r="Y10" s="6">
        <v>2.63</v>
      </c>
      <c r="Z10" s="6">
        <v>5.039999999999999</v>
      </c>
      <c r="AA10" s="6" t="s">
        <v>78</v>
      </c>
      <c r="AB10" s="7" t="s">
        <v>79</v>
      </c>
      <c r="AC10" s="7" t="s">
        <v>75</v>
      </c>
      <c r="AD10" s="7" t="s">
        <v>74</v>
      </c>
      <c r="AE10" s="7"/>
    </row>
    <row r="11" ht="13.5" customHeight="1">
      <c r="A11" s="6">
        <f t="shared" ref="A11:B11" si="8">A10+1</f>
        <v>9</v>
      </c>
      <c r="B11" s="6">
        <f t="shared" si="8"/>
        <v>9</v>
      </c>
      <c r="C11" s="6" t="s">
        <v>80</v>
      </c>
      <c r="D11" s="6" t="s">
        <v>81</v>
      </c>
      <c r="E11" s="6" t="s">
        <v>82</v>
      </c>
      <c r="F11" s="6" t="s">
        <v>42</v>
      </c>
      <c r="G11" s="6">
        <v>4.0</v>
      </c>
      <c r="H11" s="6" t="s">
        <v>48</v>
      </c>
      <c r="I11" s="6"/>
      <c r="J11" s="6"/>
      <c r="K11" s="6"/>
      <c r="L11" s="6"/>
      <c r="M11" s="6"/>
      <c r="N11" s="6"/>
      <c r="O11" s="6"/>
      <c r="P11" s="6"/>
      <c r="Q11" s="6"/>
      <c r="R11" s="6"/>
      <c r="S11" s="6"/>
      <c r="T11" s="6"/>
      <c r="U11" s="6"/>
      <c r="V11" s="6"/>
      <c r="W11" s="6"/>
      <c r="X11" s="6"/>
      <c r="Y11" s="6"/>
      <c r="Z11" s="6"/>
      <c r="AA11" s="6"/>
      <c r="AB11" s="7" t="s">
        <v>83</v>
      </c>
      <c r="AC11" s="7" t="s">
        <v>83</v>
      </c>
      <c r="AD11" s="7"/>
      <c r="AE11" s="7"/>
    </row>
    <row r="12" ht="13.5" customHeight="1">
      <c r="A12" s="6">
        <f t="shared" ref="A12:B12" si="9">A11+1</f>
        <v>10</v>
      </c>
      <c r="B12" s="6">
        <f t="shared" si="9"/>
        <v>10</v>
      </c>
      <c r="C12" s="6" t="s">
        <v>84</v>
      </c>
      <c r="D12" s="6" t="s">
        <v>85</v>
      </c>
      <c r="E12" s="6" t="s">
        <v>86</v>
      </c>
      <c r="F12" s="6" t="s">
        <v>87</v>
      </c>
      <c r="G12" s="6">
        <v>1.0</v>
      </c>
      <c r="H12" s="6" t="s">
        <v>48</v>
      </c>
      <c r="I12" s="6"/>
      <c r="J12" s="6"/>
      <c r="K12" s="6"/>
      <c r="L12" s="6"/>
      <c r="M12" s="6"/>
      <c r="N12" s="6"/>
      <c r="O12" s="6"/>
      <c r="P12" s="6"/>
      <c r="Q12" s="6"/>
      <c r="R12" s="6"/>
      <c r="S12" s="6"/>
      <c r="T12" s="6"/>
      <c r="U12" s="6"/>
      <c r="V12" s="6"/>
      <c r="W12" s="6"/>
      <c r="X12" s="6"/>
      <c r="Y12" s="6"/>
      <c r="Z12" s="6"/>
      <c r="AA12" s="6"/>
      <c r="AB12" s="7" t="s">
        <v>88</v>
      </c>
      <c r="AC12" s="7" t="s">
        <v>88</v>
      </c>
      <c r="AD12" s="7"/>
      <c r="AE12" s="7"/>
    </row>
    <row r="13" ht="13.5" customHeight="1">
      <c r="A13" s="6">
        <f t="shared" ref="A13:B13" si="10">A12+1</f>
        <v>11</v>
      </c>
      <c r="B13" s="6">
        <f t="shared" si="10"/>
        <v>11</v>
      </c>
      <c r="C13" s="6" t="s">
        <v>89</v>
      </c>
      <c r="D13" s="6" t="s">
        <v>90</v>
      </c>
      <c r="E13" s="6" t="s">
        <v>91</v>
      </c>
      <c r="F13" s="6" t="s">
        <v>66</v>
      </c>
      <c r="G13" s="6" t="s">
        <v>92</v>
      </c>
      <c r="H13" s="6" t="s">
        <v>58</v>
      </c>
      <c r="I13" s="6">
        <v>2900.0</v>
      </c>
      <c r="J13" s="6">
        <v>0.617</v>
      </c>
      <c r="K13" s="6">
        <v>17.737003058103973</v>
      </c>
      <c r="L13" s="6">
        <v>33.180428134556564</v>
      </c>
      <c r="M13" s="6">
        <v>3.211009174311926</v>
      </c>
      <c r="N13" s="6">
        <v>12.232415902140671</v>
      </c>
      <c r="O13" s="6">
        <v>2.2935779816513757</v>
      </c>
      <c r="P13" s="6">
        <v>0.3058103975535168</v>
      </c>
      <c r="Q13" s="6">
        <v>2.5993883792048926</v>
      </c>
      <c r="R13" s="6">
        <v>0.45871559633027514</v>
      </c>
      <c r="S13" s="6">
        <v>2.905198776758409</v>
      </c>
      <c r="T13" s="6">
        <v>0.6116207951070336</v>
      </c>
      <c r="U13" s="6">
        <v>2.4464831804281344</v>
      </c>
      <c r="V13" s="6">
        <v>0.3058103975535168</v>
      </c>
      <c r="W13" s="6">
        <v>1.987767584097859</v>
      </c>
      <c r="X13" s="6">
        <v>0.3058103975535168</v>
      </c>
      <c r="Y13" s="6">
        <v>19.418960244648314</v>
      </c>
      <c r="Z13" s="6">
        <v>31.039755351681954</v>
      </c>
      <c r="AA13" s="6" t="s">
        <v>59</v>
      </c>
      <c r="AB13" s="7" t="s">
        <v>93</v>
      </c>
      <c r="AC13" s="7" t="s">
        <v>93</v>
      </c>
      <c r="AD13" s="7" t="s">
        <v>94</v>
      </c>
      <c r="AE13" s="7"/>
    </row>
    <row r="14" ht="13.5" customHeight="1">
      <c r="A14" s="6">
        <f t="shared" ref="A14:B14" si="11">A13+1</f>
        <v>12</v>
      </c>
      <c r="B14" s="6">
        <f t="shared" si="11"/>
        <v>12</v>
      </c>
      <c r="C14" s="6" t="s">
        <v>95</v>
      </c>
      <c r="D14" s="6" t="s">
        <v>96</v>
      </c>
      <c r="E14" s="6" t="s">
        <v>97</v>
      </c>
      <c r="F14" s="6" t="s">
        <v>98</v>
      </c>
      <c r="G14" s="6">
        <v>2.0</v>
      </c>
      <c r="H14" s="6" t="s">
        <v>58</v>
      </c>
      <c r="I14" s="6">
        <v>20.3</v>
      </c>
      <c r="J14" s="6">
        <v>0.55</v>
      </c>
      <c r="K14" s="6">
        <v>9.983079526226732</v>
      </c>
      <c r="L14" s="6">
        <v>22.504230118443314</v>
      </c>
      <c r="M14" s="6">
        <v>2.8764805414551606</v>
      </c>
      <c r="N14" s="6">
        <v>11.336717428087987</v>
      </c>
      <c r="O14" s="6">
        <v>3.0456852791878166</v>
      </c>
      <c r="P14" s="6">
        <v>0.33840947546531297</v>
      </c>
      <c r="Q14" s="6">
        <v>3.2148900169204735</v>
      </c>
      <c r="R14" s="6">
        <v>0.6768189509306259</v>
      </c>
      <c r="S14" s="6">
        <v>4.230118443316413</v>
      </c>
      <c r="T14" s="6">
        <v>0.8460236886632824</v>
      </c>
      <c r="U14" s="6">
        <v>2.8764805414551606</v>
      </c>
      <c r="V14" s="6">
        <v>0.5076142131979695</v>
      </c>
      <c r="W14" s="6">
        <v>2.7072758037225038</v>
      </c>
      <c r="X14" s="6">
        <v>0.33840947546531297</v>
      </c>
      <c r="Y14" s="6">
        <v>34.51776649746192</v>
      </c>
      <c r="Z14" s="6">
        <v>49.915397631133665</v>
      </c>
      <c r="AA14" s="6" t="s">
        <v>59</v>
      </c>
      <c r="AB14" s="7" t="s">
        <v>99</v>
      </c>
      <c r="AC14" s="7" t="s">
        <v>100</v>
      </c>
      <c r="AD14" s="7" t="s">
        <v>101</v>
      </c>
      <c r="AE14" s="7"/>
    </row>
    <row r="15" ht="13.5" customHeight="1">
      <c r="A15" s="6">
        <f t="shared" ref="A15:B15" si="12">A14+1</f>
        <v>13</v>
      </c>
      <c r="B15" s="6">
        <f t="shared" si="12"/>
        <v>13</v>
      </c>
      <c r="D15" s="6" t="s">
        <v>102</v>
      </c>
      <c r="E15" s="6" t="s">
        <v>103</v>
      </c>
      <c r="F15" s="6" t="s">
        <v>98</v>
      </c>
      <c r="G15" s="6" t="s">
        <v>104</v>
      </c>
      <c r="H15" s="6" t="s">
        <v>105</v>
      </c>
      <c r="I15" s="6">
        <v>4.78</v>
      </c>
      <c r="J15" s="6">
        <v>0.61</v>
      </c>
      <c r="K15" s="6">
        <v>13.517915309446252</v>
      </c>
      <c r="L15" s="6">
        <v>30.78175895765472</v>
      </c>
      <c r="M15" s="6">
        <v>3.7459283387622144</v>
      </c>
      <c r="N15" s="6">
        <v>14.657980456026056</v>
      </c>
      <c r="O15" s="6">
        <v>3.420195439739413</v>
      </c>
      <c r="P15" s="6">
        <v>0.16286644951140064</v>
      </c>
      <c r="Q15" s="6">
        <v>3.420195439739413</v>
      </c>
      <c r="R15" s="6">
        <v>0.6514657980456026</v>
      </c>
      <c r="S15" s="6">
        <v>3.420195439739413</v>
      </c>
      <c r="T15" s="6">
        <v>0.6514657980456026</v>
      </c>
      <c r="U15" s="6">
        <v>1.9543973941368076</v>
      </c>
      <c r="V15" s="6">
        <v>0.3257328990228013</v>
      </c>
      <c r="W15" s="6">
        <v>1.7915309446254069</v>
      </c>
      <c r="X15" s="6">
        <v>0.3257328990228013</v>
      </c>
      <c r="Y15" s="6">
        <v>21.17263843648208</v>
      </c>
      <c r="Z15" s="6">
        <v>33.71335504885993</v>
      </c>
      <c r="AA15" s="6" t="s">
        <v>59</v>
      </c>
      <c r="AB15" s="7" t="s">
        <v>106</v>
      </c>
      <c r="AC15" s="7" t="s">
        <v>106</v>
      </c>
      <c r="AD15" s="7" t="s">
        <v>106</v>
      </c>
      <c r="AE15" s="7"/>
    </row>
    <row r="16" ht="13.5" customHeight="1">
      <c r="A16" s="6">
        <f t="shared" ref="A16:B16" si="13">A15+1</f>
        <v>14</v>
      </c>
      <c r="B16" s="6">
        <f t="shared" si="13"/>
        <v>14</v>
      </c>
      <c r="C16" s="6" t="s">
        <v>107</v>
      </c>
      <c r="D16" s="6" t="s">
        <v>108</v>
      </c>
      <c r="E16" s="6" t="s">
        <v>109</v>
      </c>
      <c r="F16" s="6" t="s">
        <v>98</v>
      </c>
      <c r="G16" s="6">
        <v>1.0</v>
      </c>
      <c r="H16" s="6" t="s">
        <v>35</v>
      </c>
      <c r="I16" s="6">
        <v>437.0</v>
      </c>
      <c r="J16" s="6">
        <v>0.9</v>
      </c>
      <c r="K16" s="6">
        <v>26.20441933103051</v>
      </c>
      <c r="L16" s="6">
        <v>47.61363234910013</v>
      </c>
      <c r="M16" s="6">
        <v>5.302853069321298</v>
      </c>
      <c r="N16" s="6">
        <v>15.882405843354883</v>
      </c>
      <c r="O16" s="6">
        <v>1.633985050748267</v>
      </c>
      <c r="P16" s="6">
        <v>0.3459817512911801</v>
      </c>
      <c r="Q16" s="6">
        <v>0.6695598643998202</v>
      </c>
      <c r="R16" s="6">
        <v>0.06939454861964178</v>
      </c>
      <c r="S16" s="6">
        <v>0.3121858577492422</v>
      </c>
      <c r="T16" s="6">
        <v>0.05651505159307339</v>
      </c>
      <c r="U16" s="6">
        <v>0.15753059972353523</v>
      </c>
      <c r="V16" s="6">
        <v>0.021067539199267907</v>
      </c>
      <c r="W16" s="6">
        <v>0.13936532506166258</v>
      </c>
      <c r="X16" s="6">
        <v>0.020142954135183952</v>
      </c>
      <c r="Y16" s="6">
        <v>1.570960864672291</v>
      </c>
      <c r="Z16" s="6">
        <v>3.016722605153718</v>
      </c>
      <c r="AA16" s="6" t="s">
        <v>110</v>
      </c>
      <c r="AB16" s="7" t="s">
        <v>111</v>
      </c>
      <c r="AC16" s="7" t="s">
        <v>112</v>
      </c>
      <c r="AD16" s="7" t="s">
        <v>113</v>
      </c>
      <c r="AE16" s="7"/>
    </row>
    <row r="17" ht="13.5" customHeight="1">
      <c r="A17" s="6">
        <f t="shared" ref="A17:B17" si="14">A16+1</f>
        <v>15</v>
      </c>
      <c r="B17" s="6">
        <f t="shared" si="14"/>
        <v>15</v>
      </c>
      <c r="C17" s="6" t="s">
        <v>114</v>
      </c>
      <c r="D17" s="6" t="s">
        <v>115</v>
      </c>
      <c r="E17" s="6" t="s">
        <v>116</v>
      </c>
      <c r="F17" s="6" t="s">
        <v>117</v>
      </c>
      <c r="G17" s="6">
        <v>1.0</v>
      </c>
      <c r="H17" s="6" t="s">
        <v>48</v>
      </c>
      <c r="I17" s="6">
        <v>49.5</v>
      </c>
      <c r="J17" s="6">
        <v>0.1</v>
      </c>
      <c r="K17" s="6">
        <v>26.086956521739125</v>
      </c>
      <c r="L17" s="6">
        <v>44.927536231884055</v>
      </c>
      <c r="M17" s="6">
        <v>4.3478260869565215</v>
      </c>
      <c r="N17" s="6">
        <v>14.492753623188403</v>
      </c>
      <c r="O17" s="6">
        <v>1.4492753623188404</v>
      </c>
      <c r="P17" s="6">
        <v>0.0</v>
      </c>
      <c r="Q17" s="6">
        <v>1.4492753623188404</v>
      </c>
      <c r="R17" s="6">
        <v>0.0</v>
      </c>
      <c r="S17" s="6">
        <v>1.4492753623188404</v>
      </c>
      <c r="T17" s="6">
        <v>0.0</v>
      </c>
      <c r="U17" s="6">
        <v>0.0</v>
      </c>
      <c r="V17" s="6">
        <v>0.0</v>
      </c>
      <c r="W17" s="6">
        <v>0.0</v>
      </c>
      <c r="X17" s="6">
        <v>0.0</v>
      </c>
      <c r="Y17" s="6">
        <v>5.797101449275361</v>
      </c>
      <c r="Z17" s="6">
        <v>8.695652173913043</v>
      </c>
      <c r="AA17" s="6" t="s">
        <v>59</v>
      </c>
      <c r="AB17" s="7" t="s">
        <v>118</v>
      </c>
      <c r="AC17" s="7" t="s">
        <v>118</v>
      </c>
      <c r="AD17" s="7" t="s">
        <v>113</v>
      </c>
      <c r="AE17" s="7"/>
    </row>
    <row r="18" ht="15.0" customHeight="1">
      <c r="A18" s="6">
        <f t="shared" ref="A18:B18" si="15">A17+1</f>
        <v>16</v>
      </c>
      <c r="B18" s="6">
        <f t="shared" si="15"/>
        <v>16</v>
      </c>
      <c r="C18" s="6" t="s">
        <v>119</v>
      </c>
      <c r="D18" s="6" t="s">
        <v>120</v>
      </c>
      <c r="E18" s="6" t="s">
        <v>121</v>
      </c>
      <c r="F18" s="6" t="s">
        <v>42</v>
      </c>
      <c r="G18" s="6">
        <v>4.0</v>
      </c>
      <c r="H18" s="6" t="s">
        <v>58</v>
      </c>
      <c r="I18" s="6">
        <v>138.7</v>
      </c>
      <c r="J18" s="6">
        <v>1.464</v>
      </c>
      <c r="K18" s="6">
        <v>17.41038771031456</v>
      </c>
      <c r="L18" s="6">
        <v>40.01463057790784</v>
      </c>
      <c r="M18" s="6">
        <v>4.901243599122167</v>
      </c>
      <c r="N18" s="6">
        <v>19.239209948792983</v>
      </c>
      <c r="O18" s="6">
        <v>3.730797366495977</v>
      </c>
      <c r="P18" s="6">
        <v>0.43891733723482085</v>
      </c>
      <c r="Q18" s="6">
        <v>2.9992684711046094</v>
      </c>
      <c r="R18" s="6">
        <v>0.36576444769568406</v>
      </c>
      <c r="S18" s="6">
        <v>1.7556693489392834</v>
      </c>
      <c r="T18" s="6">
        <v>0.2926115581565472</v>
      </c>
      <c r="U18" s="6">
        <v>0.7315288953913681</v>
      </c>
      <c r="V18" s="6">
        <v>0.0731528895391368</v>
      </c>
      <c r="W18" s="6">
        <v>0.5852231163130944</v>
      </c>
      <c r="X18" s="6">
        <v>0.0731528895391368</v>
      </c>
      <c r="Y18" s="6">
        <v>7.388441843452818</v>
      </c>
      <c r="Z18" s="6">
        <v>14.264813460131679</v>
      </c>
      <c r="AA18" s="6" t="s">
        <v>59</v>
      </c>
      <c r="AB18" s="7" t="s">
        <v>122</v>
      </c>
      <c r="AC18" s="7" t="s">
        <v>123</v>
      </c>
      <c r="AD18" s="7" t="s">
        <v>124</v>
      </c>
      <c r="AE18" s="7"/>
    </row>
    <row r="19" ht="13.5" customHeight="1">
      <c r="A19" s="6">
        <f t="shared" ref="A19:B19" si="16">A18+1</f>
        <v>17</v>
      </c>
      <c r="B19" s="6">
        <f t="shared" si="16"/>
        <v>17</v>
      </c>
      <c r="D19" s="6" t="s">
        <v>125</v>
      </c>
      <c r="E19" s="6" t="s">
        <v>126</v>
      </c>
      <c r="F19" s="6" t="s">
        <v>73</v>
      </c>
      <c r="G19" s="6" t="s">
        <v>127</v>
      </c>
      <c r="H19" s="6" t="s">
        <v>35</v>
      </c>
      <c r="I19" s="6">
        <v>8.58</v>
      </c>
      <c r="J19" s="6">
        <v>2.6</v>
      </c>
      <c r="K19" s="6">
        <v>38.330170777988606</v>
      </c>
      <c r="L19" s="6">
        <v>48.576850094876654</v>
      </c>
      <c r="M19" s="6">
        <v>3.605313092979127</v>
      </c>
      <c r="N19" s="6">
        <v>8.538899430740038</v>
      </c>
      <c r="O19" s="6">
        <v>0.49335863377609096</v>
      </c>
      <c r="P19" s="6">
        <v>0.11385199240986717</v>
      </c>
      <c r="Q19" s="6">
        <v>0.15180265654648956</v>
      </c>
      <c r="R19" s="6">
        <v>0.018975332068311195</v>
      </c>
      <c r="S19" s="6">
        <v>0.03795066413662239</v>
      </c>
      <c r="T19" s="6">
        <v>0.0</v>
      </c>
      <c r="U19" s="6">
        <v>0.0</v>
      </c>
      <c r="V19" s="6">
        <v>0.0</v>
      </c>
      <c r="W19" s="6">
        <v>0.0</v>
      </c>
      <c r="X19" s="6">
        <v>0.0</v>
      </c>
      <c r="Y19" s="6">
        <v>0.13282732447817835</v>
      </c>
      <c r="Z19" s="6">
        <v>0.3415559772296015</v>
      </c>
      <c r="AA19" s="6" t="s">
        <v>59</v>
      </c>
      <c r="AB19" s="7" t="s">
        <v>128</v>
      </c>
      <c r="AC19" s="7" t="s">
        <v>128</v>
      </c>
      <c r="AD19" s="7" t="s">
        <v>129</v>
      </c>
      <c r="AE19" s="7"/>
    </row>
    <row r="20" ht="13.5" customHeight="1">
      <c r="A20" s="6">
        <f t="shared" ref="A20:B20" si="17">A19+1</f>
        <v>18</v>
      </c>
      <c r="B20" s="6">
        <f t="shared" si="17"/>
        <v>18</v>
      </c>
      <c r="D20" s="6" t="s">
        <v>130</v>
      </c>
      <c r="E20" s="6" t="s">
        <v>131</v>
      </c>
      <c r="F20" s="6" t="s">
        <v>42</v>
      </c>
      <c r="G20" s="6" t="s">
        <v>132</v>
      </c>
      <c r="H20" s="6" t="s">
        <v>58</v>
      </c>
      <c r="I20" s="6">
        <v>10.65</v>
      </c>
      <c r="J20" s="6">
        <v>0.39</v>
      </c>
      <c r="K20" s="6">
        <v>14.32</v>
      </c>
      <c r="L20" s="6">
        <v>29.1</v>
      </c>
      <c r="M20" s="6">
        <v>3.56</v>
      </c>
      <c r="N20" s="6">
        <v>13.4</v>
      </c>
      <c r="O20" s="6">
        <v>3.0</v>
      </c>
      <c r="P20" s="6">
        <v>0.37</v>
      </c>
      <c r="Q20" s="6">
        <v>2.9</v>
      </c>
      <c r="R20" s="6">
        <v>0.54</v>
      </c>
      <c r="S20" s="6">
        <v>3.58</v>
      </c>
      <c r="T20" s="6">
        <v>0.78</v>
      </c>
      <c r="U20" s="6">
        <v>2.46</v>
      </c>
      <c r="V20" s="6">
        <v>0.39</v>
      </c>
      <c r="W20" s="6">
        <v>2.34</v>
      </c>
      <c r="X20" s="6">
        <v>0.32</v>
      </c>
      <c r="Y20" s="6">
        <v>22.97</v>
      </c>
      <c r="Z20" s="6">
        <v>36.28</v>
      </c>
      <c r="AA20" s="6" t="s">
        <v>133</v>
      </c>
      <c r="AB20" s="7" t="s">
        <v>134</v>
      </c>
      <c r="AC20" s="7" t="s">
        <v>134</v>
      </c>
      <c r="AD20" s="7" t="s">
        <v>135</v>
      </c>
      <c r="AE20" s="7"/>
    </row>
    <row r="21" ht="13.5" customHeight="1">
      <c r="A21" s="6">
        <f t="shared" ref="A21:B21" si="18">A20+1</f>
        <v>19</v>
      </c>
      <c r="B21" s="6">
        <f t="shared" si="18"/>
        <v>19</v>
      </c>
      <c r="C21" s="6" t="s">
        <v>136</v>
      </c>
      <c r="D21" s="6" t="s">
        <v>137</v>
      </c>
      <c r="E21" s="6" t="s">
        <v>138</v>
      </c>
      <c r="F21" s="6" t="s">
        <v>73</v>
      </c>
      <c r="G21" s="6" t="s">
        <v>139</v>
      </c>
      <c r="H21" s="6" t="s">
        <v>35</v>
      </c>
      <c r="I21" s="6">
        <v>462.0</v>
      </c>
      <c r="J21" s="6">
        <v>2.15</v>
      </c>
      <c r="K21" s="6">
        <v>27.086313781592747</v>
      </c>
      <c r="L21" s="6">
        <v>48.18788745827372</v>
      </c>
      <c r="M21" s="6">
        <v>4.816404387219838</v>
      </c>
      <c r="N21" s="6">
        <v>16.285169289461138</v>
      </c>
      <c r="O21" s="6">
        <v>1.6690510252742015</v>
      </c>
      <c r="P21" s="6">
        <v>0.35765379113018597</v>
      </c>
      <c r="Q21" s="6">
        <v>0.7629947544110635</v>
      </c>
      <c r="R21" s="6">
        <v>0.07153075822603719</v>
      </c>
      <c r="S21" s="6">
        <v>0.16690510252742013</v>
      </c>
      <c r="T21" s="6">
        <v>0.023843586075345733</v>
      </c>
      <c r="U21" s="6">
        <v>0.07153075822603719</v>
      </c>
      <c r="V21" s="6">
        <v>0.0</v>
      </c>
      <c r="W21" s="6">
        <v>0.023843586075345733</v>
      </c>
      <c r="X21" s="6">
        <v>0.0</v>
      </c>
      <c r="Y21" s="6">
        <v>0.4768717215069147</v>
      </c>
      <c r="Z21" s="6">
        <v>1.5975202670481639</v>
      </c>
      <c r="AA21" s="6" t="s">
        <v>59</v>
      </c>
      <c r="AB21" s="7" t="s">
        <v>140</v>
      </c>
      <c r="AC21" s="7" t="s">
        <v>141</v>
      </c>
      <c r="AD21" s="7" t="s">
        <v>140</v>
      </c>
      <c r="AE21" s="7"/>
    </row>
    <row r="22" ht="15.0" customHeight="1">
      <c r="A22" s="6">
        <f t="shared" ref="A22:B22" si="19">A21+1</f>
        <v>20</v>
      </c>
      <c r="B22" s="6">
        <f t="shared" si="19"/>
        <v>20</v>
      </c>
      <c r="C22" s="6" t="s">
        <v>142</v>
      </c>
      <c r="D22" s="6" t="s">
        <v>143</v>
      </c>
      <c r="E22" s="6" t="s">
        <v>144</v>
      </c>
      <c r="F22" s="6" t="s">
        <v>73</v>
      </c>
      <c r="G22" s="6">
        <v>1.0</v>
      </c>
      <c r="H22" s="6" t="s">
        <v>35</v>
      </c>
      <c r="I22" s="6">
        <v>9.08</v>
      </c>
      <c r="J22" s="6">
        <v>0.17</v>
      </c>
      <c r="K22" s="6">
        <v>3.529411764705883</v>
      </c>
      <c r="L22" s="6">
        <v>6.5546218487394965</v>
      </c>
      <c r="M22" s="6">
        <v>0.6722689075630253</v>
      </c>
      <c r="N22" s="6">
        <v>2.689075630252101</v>
      </c>
      <c r="O22" s="6">
        <v>1.1764705882352944</v>
      </c>
      <c r="P22" s="6">
        <v>1.0084033613445378</v>
      </c>
      <c r="Q22" s="6">
        <v>4.369747899159663</v>
      </c>
      <c r="R22" s="6">
        <v>1.1764705882352944</v>
      </c>
      <c r="S22" s="6">
        <v>8.067226890756302</v>
      </c>
      <c r="T22" s="6">
        <v>1.8487394957983194</v>
      </c>
      <c r="U22" s="6">
        <v>5.2100840336134455</v>
      </c>
      <c r="V22" s="6">
        <v>0.8403361344537816</v>
      </c>
      <c r="W22" s="6">
        <v>4.873949579831933</v>
      </c>
      <c r="X22" s="6">
        <v>0.6722689075630253</v>
      </c>
      <c r="Y22" s="6">
        <v>57.31092436974791</v>
      </c>
      <c r="Z22" s="6">
        <v>84.36974789915968</v>
      </c>
      <c r="AA22" s="6" t="s">
        <v>59</v>
      </c>
      <c r="AB22" s="7" t="s">
        <v>145</v>
      </c>
      <c r="AC22" s="7"/>
      <c r="AD22" s="7" t="s">
        <v>146</v>
      </c>
      <c r="AE22" s="7"/>
    </row>
    <row r="23" ht="13.5" customHeight="1">
      <c r="A23" s="6">
        <f t="shared" ref="A23:B23" si="20">A22+1</f>
        <v>21</v>
      </c>
      <c r="B23" s="6">
        <f t="shared" si="20"/>
        <v>21</v>
      </c>
      <c r="D23" s="6" t="s">
        <v>147</v>
      </c>
      <c r="E23" s="6" t="s">
        <v>148</v>
      </c>
      <c r="F23" s="6" t="s">
        <v>73</v>
      </c>
      <c r="G23" s="6">
        <v>1.0</v>
      </c>
      <c r="H23" s="6" t="s">
        <v>58</v>
      </c>
      <c r="I23" s="6"/>
      <c r="J23" s="6"/>
      <c r="K23" s="6"/>
      <c r="L23" s="6"/>
      <c r="M23" s="6"/>
      <c r="N23" s="6"/>
      <c r="O23" s="6"/>
      <c r="P23" s="6"/>
      <c r="Q23" s="6"/>
      <c r="R23" s="6"/>
      <c r="S23" s="6"/>
      <c r="T23" s="6"/>
      <c r="U23" s="6"/>
      <c r="V23" s="6"/>
      <c r="W23" s="6"/>
      <c r="X23" s="6"/>
      <c r="Y23" s="6"/>
      <c r="Z23" s="6"/>
      <c r="AA23" s="6"/>
      <c r="AB23" s="7" t="s">
        <v>149</v>
      </c>
      <c r="AC23" s="7" t="s">
        <v>149</v>
      </c>
      <c r="AD23" s="7"/>
      <c r="AE23" s="7"/>
    </row>
    <row r="24" ht="16.5" customHeight="1">
      <c r="A24" s="6">
        <f t="shared" ref="A24:A148" si="21">A23+1</f>
        <v>22</v>
      </c>
      <c r="B24" s="6">
        <v>22.0</v>
      </c>
      <c r="C24" s="6" t="s">
        <v>150</v>
      </c>
      <c r="D24" s="6" t="s">
        <v>151</v>
      </c>
      <c r="E24" s="6" t="s">
        <v>152</v>
      </c>
      <c r="F24" s="6" t="s">
        <v>34</v>
      </c>
      <c r="G24" s="6">
        <v>1.0</v>
      </c>
      <c r="H24" s="6" t="s">
        <v>105</v>
      </c>
      <c r="I24" s="6">
        <v>6.0</v>
      </c>
      <c r="J24" s="6">
        <v>0.67</v>
      </c>
      <c r="K24" s="6">
        <v>2.4357239512855204</v>
      </c>
      <c r="L24" s="6">
        <v>5.953991880920161</v>
      </c>
      <c r="M24" s="6">
        <v>0.8119079837618403</v>
      </c>
      <c r="N24" s="6">
        <v>3.788903924221921</v>
      </c>
      <c r="O24" s="6">
        <v>2.165087956698241</v>
      </c>
      <c r="P24" s="6">
        <v>0.40595399188092013</v>
      </c>
      <c r="Q24" s="6">
        <v>5.6833558863328815</v>
      </c>
      <c r="R24" s="6">
        <v>1.2178619756427602</v>
      </c>
      <c r="S24" s="6">
        <v>8.389715832205683</v>
      </c>
      <c r="T24" s="6">
        <v>1.8944519621109606</v>
      </c>
      <c r="U24" s="6">
        <v>5.277401894451962</v>
      </c>
      <c r="V24" s="6">
        <v>0.8119079837618403</v>
      </c>
      <c r="W24" s="6">
        <v>4.330175913396482</v>
      </c>
      <c r="X24" s="6">
        <v>0.5412719891745602</v>
      </c>
      <c r="Y24" s="6">
        <v>56.29228687415425</v>
      </c>
      <c r="Z24" s="6">
        <v>84.43843031123139</v>
      </c>
      <c r="AA24" s="6" t="s">
        <v>59</v>
      </c>
      <c r="AB24" s="7" t="s">
        <v>153</v>
      </c>
      <c r="AC24" s="7" t="s">
        <v>154</v>
      </c>
      <c r="AD24" s="7" t="s">
        <v>153</v>
      </c>
      <c r="AE24" s="7"/>
    </row>
    <row r="25" ht="16.5" customHeight="1">
      <c r="A25" s="6">
        <f t="shared" si="21"/>
        <v>23</v>
      </c>
      <c r="B25" s="6"/>
      <c r="D25" s="6" t="s">
        <v>155</v>
      </c>
      <c r="E25" s="6" t="s">
        <v>152</v>
      </c>
      <c r="F25" s="6" t="s">
        <v>34</v>
      </c>
      <c r="G25" s="6">
        <v>1.0</v>
      </c>
      <c r="H25" s="6" t="s">
        <v>105</v>
      </c>
      <c r="I25" s="6"/>
      <c r="J25" s="6"/>
      <c r="K25" s="6"/>
      <c r="L25" s="6"/>
      <c r="M25" s="6"/>
      <c r="N25" s="6"/>
      <c r="O25" s="6"/>
      <c r="P25" s="6"/>
      <c r="Q25" s="6"/>
      <c r="R25" s="6"/>
      <c r="S25" s="6"/>
      <c r="T25" s="6"/>
      <c r="U25" s="6"/>
      <c r="V25" s="6"/>
      <c r="W25" s="6"/>
      <c r="X25" s="6"/>
      <c r="Y25" s="6"/>
      <c r="Z25" s="6"/>
      <c r="AA25" s="6"/>
      <c r="AB25" s="7" t="s">
        <v>153</v>
      </c>
      <c r="AC25" s="7" t="s">
        <v>154</v>
      </c>
      <c r="AD25" s="7"/>
      <c r="AE25" s="7"/>
    </row>
    <row r="26" ht="16.5" customHeight="1">
      <c r="A26" s="6">
        <f t="shared" si="21"/>
        <v>24</v>
      </c>
      <c r="B26" s="6"/>
      <c r="D26" s="6" t="s">
        <v>156</v>
      </c>
      <c r="E26" s="6" t="s">
        <v>152</v>
      </c>
      <c r="F26" s="6" t="s">
        <v>34</v>
      </c>
      <c r="G26" s="6">
        <v>1.0</v>
      </c>
      <c r="H26" s="6" t="s">
        <v>105</v>
      </c>
      <c r="I26" s="6"/>
      <c r="J26" s="6"/>
      <c r="K26" s="6"/>
      <c r="L26" s="6"/>
      <c r="M26" s="6"/>
      <c r="N26" s="6"/>
      <c r="O26" s="6"/>
      <c r="P26" s="6"/>
      <c r="Q26" s="6"/>
      <c r="R26" s="6"/>
      <c r="S26" s="6"/>
      <c r="T26" s="6"/>
      <c r="U26" s="6"/>
      <c r="V26" s="6"/>
      <c r="W26" s="6"/>
      <c r="X26" s="6"/>
      <c r="Y26" s="6"/>
      <c r="Z26" s="6"/>
      <c r="AA26" s="6"/>
      <c r="AB26" s="7" t="s">
        <v>153</v>
      </c>
      <c r="AC26" s="7" t="s">
        <v>154</v>
      </c>
      <c r="AD26" s="7"/>
      <c r="AE26" s="7"/>
    </row>
    <row r="27" ht="16.5" customHeight="1">
      <c r="A27" s="6">
        <f t="shared" si="21"/>
        <v>25</v>
      </c>
      <c r="B27" s="6"/>
      <c r="D27" s="6" t="s">
        <v>157</v>
      </c>
      <c r="E27" s="6" t="s">
        <v>152</v>
      </c>
      <c r="F27" s="6" t="s">
        <v>34</v>
      </c>
      <c r="G27" s="6">
        <v>1.0</v>
      </c>
      <c r="H27" s="6" t="s">
        <v>105</v>
      </c>
      <c r="I27" s="6"/>
      <c r="J27" s="6"/>
      <c r="K27" s="6"/>
      <c r="L27" s="6"/>
      <c r="M27" s="6"/>
      <c r="N27" s="6"/>
      <c r="O27" s="6"/>
      <c r="P27" s="6"/>
      <c r="Q27" s="6"/>
      <c r="R27" s="6"/>
      <c r="S27" s="6"/>
      <c r="T27" s="6"/>
      <c r="U27" s="6"/>
      <c r="V27" s="6"/>
      <c r="W27" s="6"/>
      <c r="X27" s="6"/>
      <c r="Y27" s="6"/>
      <c r="Z27" s="6"/>
      <c r="AA27" s="6"/>
      <c r="AB27" s="7" t="s">
        <v>153</v>
      </c>
      <c r="AC27" s="7" t="s">
        <v>154</v>
      </c>
      <c r="AD27" s="7"/>
      <c r="AE27" s="7"/>
    </row>
    <row r="28" ht="16.5" customHeight="1">
      <c r="A28" s="6">
        <f t="shared" si="21"/>
        <v>26</v>
      </c>
      <c r="B28" s="6"/>
      <c r="D28" s="6" t="s">
        <v>158</v>
      </c>
      <c r="E28" s="6" t="s">
        <v>152</v>
      </c>
      <c r="F28" s="6" t="s">
        <v>34</v>
      </c>
      <c r="G28" s="6">
        <v>1.0</v>
      </c>
      <c r="H28" s="6" t="s">
        <v>105</v>
      </c>
      <c r="I28" s="6"/>
      <c r="J28" s="6"/>
      <c r="K28" s="6"/>
      <c r="L28" s="6"/>
      <c r="M28" s="6"/>
      <c r="N28" s="6"/>
      <c r="O28" s="6"/>
      <c r="P28" s="6"/>
      <c r="Q28" s="6"/>
      <c r="R28" s="6"/>
      <c r="S28" s="6"/>
      <c r="T28" s="6"/>
      <c r="U28" s="6"/>
      <c r="V28" s="6"/>
      <c r="W28" s="6"/>
      <c r="X28" s="6"/>
      <c r="Y28" s="6"/>
      <c r="Z28" s="6"/>
      <c r="AA28" s="6"/>
      <c r="AB28" s="7" t="s">
        <v>153</v>
      </c>
      <c r="AC28" s="7" t="s">
        <v>154</v>
      </c>
      <c r="AD28" s="7"/>
      <c r="AE28" s="7"/>
    </row>
    <row r="29" ht="16.5" customHeight="1">
      <c r="A29" s="6">
        <f t="shared" si="21"/>
        <v>27</v>
      </c>
      <c r="B29" s="6"/>
      <c r="D29" s="6" t="s">
        <v>159</v>
      </c>
      <c r="E29" s="6" t="s">
        <v>152</v>
      </c>
      <c r="F29" s="6" t="s">
        <v>34</v>
      </c>
      <c r="G29" s="6">
        <v>1.0</v>
      </c>
      <c r="H29" s="6" t="s">
        <v>105</v>
      </c>
      <c r="I29" s="6"/>
      <c r="J29" s="6"/>
      <c r="K29" s="6"/>
      <c r="L29" s="6"/>
      <c r="M29" s="6"/>
      <c r="N29" s="6"/>
      <c r="O29" s="6"/>
      <c r="P29" s="6"/>
      <c r="Q29" s="6"/>
      <c r="R29" s="6"/>
      <c r="S29" s="6"/>
      <c r="T29" s="6"/>
      <c r="U29" s="6"/>
      <c r="V29" s="6"/>
      <c r="W29" s="6"/>
      <c r="X29" s="6"/>
      <c r="Y29" s="6"/>
      <c r="Z29" s="6"/>
      <c r="AA29" s="6"/>
      <c r="AB29" s="7" t="s">
        <v>153</v>
      </c>
      <c r="AC29" s="7" t="s">
        <v>154</v>
      </c>
      <c r="AD29" s="7"/>
      <c r="AE29" s="7"/>
    </row>
    <row r="30" ht="16.5" customHeight="1">
      <c r="A30" s="6">
        <f t="shared" si="21"/>
        <v>28</v>
      </c>
      <c r="B30" s="6"/>
      <c r="D30" s="6" t="s">
        <v>160</v>
      </c>
      <c r="E30" s="6" t="s">
        <v>152</v>
      </c>
      <c r="F30" s="6" t="s">
        <v>34</v>
      </c>
      <c r="G30" s="6">
        <v>1.0</v>
      </c>
      <c r="H30" s="6" t="s">
        <v>105</v>
      </c>
      <c r="I30" s="6"/>
      <c r="J30" s="6"/>
      <c r="K30" s="6"/>
      <c r="L30" s="6"/>
      <c r="M30" s="6"/>
      <c r="N30" s="6"/>
      <c r="O30" s="6"/>
      <c r="P30" s="6"/>
      <c r="Q30" s="6"/>
      <c r="R30" s="6"/>
      <c r="S30" s="6"/>
      <c r="T30" s="6"/>
      <c r="U30" s="6"/>
      <c r="V30" s="6"/>
      <c r="W30" s="6"/>
      <c r="X30" s="6"/>
      <c r="Y30" s="6"/>
      <c r="Z30" s="6"/>
      <c r="AA30" s="6"/>
      <c r="AB30" s="7" t="s">
        <v>153</v>
      </c>
      <c r="AC30" s="7" t="s">
        <v>154</v>
      </c>
      <c r="AD30" s="7"/>
      <c r="AE30" s="7"/>
    </row>
    <row r="31" ht="16.5" customHeight="1">
      <c r="A31" s="6">
        <f t="shared" si="21"/>
        <v>29</v>
      </c>
      <c r="B31" s="6">
        <v>23.0</v>
      </c>
      <c r="D31" s="6" t="s">
        <v>161</v>
      </c>
      <c r="E31" s="6" t="s">
        <v>162</v>
      </c>
      <c r="F31" s="6" t="s">
        <v>34</v>
      </c>
      <c r="G31" s="6" t="s">
        <v>163</v>
      </c>
      <c r="H31" s="6" t="s">
        <v>105</v>
      </c>
      <c r="I31" s="6"/>
      <c r="J31" s="6"/>
      <c r="K31" s="6"/>
      <c r="L31" s="6"/>
      <c r="M31" s="6"/>
      <c r="N31" s="6"/>
      <c r="O31" s="6"/>
      <c r="P31" s="6"/>
      <c r="Q31" s="6"/>
      <c r="R31" s="6"/>
      <c r="S31" s="6"/>
      <c r="T31" s="6"/>
      <c r="U31" s="6"/>
      <c r="V31" s="6"/>
      <c r="W31" s="6"/>
      <c r="X31" s="6"/>
      <c r="Y31" s="6"/>
      <c r="Z31" s="6"/>
      <c r="AA31" s="6"/>
      <c r="AB31" s="7" t="s">
        <v>164</v>
      </c>
      <c r="AC31" s="7" t="s">
        <v>154</v>
      </c>
      <c r="AD31" s="7"/>
      <c r="AE31" s="7"/>
    </row>
    <row r="32" ht="16.5" customHeight="1">
      <c r="A32" s="6">
        <f t="shared" si="21"/>
        <v>30</v>
      </c>
      <c r="B32" s="6">
        <f t="shared" ref="B32:B55" si="22">B31+1</f>
        <v>24</v>
      </c>
      <c r="D32" s="6" t="s">
        <v>165</v>
      </c>
      <c r="E32" s="6" t="s">
        <v>152</v>
      </c>
      <c r="F32" s="6" t="s">
        <v>34</v>
      </c>
      <c r="G32" s="6">
        <v>1.0</v>
      </c>
      <c r="H32" s="6" t="s">
        <v>105</v>
      </c>
      <c r="I32" s="6"/>
      <c r="J32" s="6"/>
      <c r="K32" s="6"/>
      <c r="L32" s="6"/>
      <c r="M32" s="6"/>
      <c r="N32" s="6"/>
      <c r="O32" s="6"/>
      <c r="P32" s="6"/>
      <c r="Q32" s="6"/>
      <c r="R32" s="6"/>
      <c r="S32" s="6"/>
      <c r="T32" s="6"/>
      <c r="U32" s="6"/>
      <c r="V32" s="6"/>
      <c r="W32" s="6"/>
      <c r="X32" s="6"/>
      <c r="Y32" s="6"/>
      <c r="Z32" s="6"/>
      <c r="AA32" s="6"/>
      <c r="AB32" s="7" t="s">
        <v>166</v>
      </c>
      <c r="AC32" s="7" t="s">
        <v>167</v>
      </c>
      <c r="AD32" s="7"/>
      <c r="AE32" s="7"/>
    </row>
    <row r="33" ht="26.25" customHeight="1">
      <c r="A33" s="6">
        <f t="shared" si="21"/>
        <v>31</v>
      </c>
      <c r="B33" s="6">
        <f t="shared" si="22"/>
        <v>25</v>
      </c>
      <c r="C33" s="6" t="s">
        <v>168</v>
      </c>
      <c r="D33" s="6" t="s">
        <v>169</v>
      </c>
      <c r="E33" s="6" t="s">
        <v>170</v>
      </c>
      <c r="F33" s="6" t="s">
        <v>42</v>
      </c>
      <c r="G33" s="6">
        <v>2.0</v>
      </c>
      <c r="H33" s="6" t="s">
        <v>171</v>
      </c>
      <c r="I33" s="6">
        <v>57.0</v>
      </c>
      <c r="J33" s="6">
        <v>0.06</v>
      </c>
      <c r="K33" s="6">
        <v>3.225806451612903</v>
      </c>
      <c r="L33" s="6">
        <v>14.516129032258062</v>
      </c>
      <c r="M33" s="6">
        <v>1.6129032258064515</v>
      </c>
      <c r="N33" s="6">
        <v>4.838709677419355</v>
      </c>
      <c r="O33" s="6">
        <v>1.6129032258064515</v>
      </c>
      <c r="P33" s="6">
        <v>0.0</v>
      </c>
      <c r="Q33" s="6">
        <v>1.6129032258064515</v>
      </c>
      <c r="R33" s="6">
        <v>0.0</v>
      </c>
      <c r="S33" s="6">
        <v>6.451612903225806</v>
      </c>
      <c r="T33" s="6">
        <v>1.6129032258064515</v>
      </c>
      <c r="U33" s="6">
        <v>6.451612903225806</v>
      </c>
      <c r="V33" s="6">
        <v>1.6129032258064515</v>
      </c>
      <c r="W33" s="6">
        <v>9.67741935483871</v>
      </c>
      <c r="X33" s="6">
        <v>1.6129032258064515</v>
      </c>
      <c r="Y33" s="6">
        <v>45.16129032258064</v>
      </c>
      <c r="Z33" s="6">
        <v>74.19354838709677</v>
      </c>
      <c r="AA33" s="6" t="s">
        <v>59</v>
      </c>
      <c r="AB33" s="7" t="s">
        <v>172</v>
      </c>
      <c r="AC33" s="7" t="s">
        <v>173</v>
      </c>
      <c r="AD33" s="7" t="s">
        <v>59</v>
      </c>
      <c r="AE33" s="7"/>
    </row>
    <row r="34" ht="13.5" customHeight="1">
      <c r="A34" s="6">
        <f t="shared" si="21"/>
        <v>32</v>
      </c>
      <c r="B34" s="6">
        <f t="shared" si="22"/>
        <v>26</v>
      </c>
      <c r="C34" s="6" t="s">
        <v>174</v>
      </c>
      <c r="D34" s="6" t="s">
        <v>175</v>
      </c>
      <c r="E34" s="6" t="s">
        <v>176</v>
      </c>
      <c r="F34" s="6" t="s">
        <v>34</v>
      </c>
      <c r="G34" s="6">
        <v>2.0</v>
      </c>
      <c r="H34" s="6" t="s">
        <v>105</v>
      </c>
      <c r="I34" s="6">
        <v>145.6</v>
      </c>
      <c r="J34" s="6">
        <v>2.6</v>
      </c>
      <c r="K34" s="6">
        <v>19.14405808177303</v>
      </c>
      <c r="L34" s="6">
        <v>48.79633167749333</v>
      </c>
      <c r="M34" s="6">
        <v>5.9228123805884625</v>
      </c>
      <c r="N34" s="6">
        <v>20.59610240733665</v>
      </c>
      <c r="O34" s="6">
        <v>2.2927015666794044</v>
      </c>
      <c r="P34" s="6">
        <v>0.3821169277799008</v>
      </c>
      <c r="Q34" s="6">
        <v>0.993504012227742</v>
      </c>
      <c r="R34" s="6">
        <v>0.07642338555598016</v>
      </c>
      <c r="S34" s="6">
        <v>0.30569354222392064</v>
      </c>
      <c r="T34" s="6">
        <v>0.03821169277799008</v>
      </c>
      <c r="U34" s="6">
        <v>0.07642338555598016</v>
      </c>
      <c r="V34" s="6">
        <v>0.0</v>
      </c>
      <c r="W34" s="6">
        <v>0.03821169277799008</v>
      </c>
      <c r="X34" s="6">
        <v>0.0</v>
      </c>
      <c r="Y34" s="6">
        <v>1.3374092472296528</v>
      </c>
      <c r="Z34" s="6">
        <v>2.865876958349256</v>
      </c>
      <c r="AA34" s="6" t="s">
        <v>59</v>
      </c>
      <c r="AB34" s="7" t="s">
        <v>177</v>
      </c>
      <c r="AC34" s="7" t="s">
        <v>178</v>
      </c>
      <c r="AD34" s="7" t="s">
        <v>179</v>
      </c>
      <c r="AE34" s="7"/>
    </row>
    <row r="35" ht="13.5" customHeight="1">
      <c r="A35" s="6">
        <f t="shared" si="21"/>
        <v>33</v>
      </c>
      <c r="B35" s="6">
        <f t="shared" si="22"/>
        <v>27</v>
      </c>
      <c r="C35" s="6" t="s">
        <v>180</v>
      </c>
      <c r="D35" s="6" t="s">
        <v>181</v>
      </c>
      <c r="E35" s="6" t="s">
        <v>182</v>
      </c>
      <c r="F35" s="6" t="s">
        <v>42</v>
      </c>
      <c r="G35" s="6" t="s">
        <v>104</v>
      </c>
      <c r="H35" s="6" t="s">
        <v>183</v>
      </c>
      <c r="I35" s="6">
        <v>3.41</v>
      </c>
      <c r="J35" s="6">
        <v>0.653</v>
      </c>
      <c r="K35" s="6">
        <v>11.437908496732026</v>
      </c>
      <c r="L35" s="6">
        <v>27.777777777777775</v>
      </c>
      <c r="M35" s="6">
        <v>3.26797385620915</v>
      </c>
      <c r="N35" s="6">
        <v>13.72549019607843</v>
      </c>
      <c r="O35" s="6">
        <v>3.5947712418300646</v>
      </c>
      <c r="P35" s="6">
        <v>0.326797385620915</v>
      </c>
      <c r="Q35" s="6">
        <v>3.758169934640522</v>
      </c>
      <c r="R35" s="6">
        <v>0.65359477124183</v>
      </c>
      <c r="S35" s="6">
        <v>4.2483660130718945</v>
      </c>
      <c r="T35" s="6">
        <v>0.980392156862745</v>
      </c>
      <c r="U35" s="6">
        <v>2.2875816993464047</v>
      </c>
      <c r="V35" s="6">
        <v>0.326797385620915</v>
      </c>
      <c r="W35" s="6">
        <v>1.633986928104575</v>
      </c>
      <c r="X35" s="6">
        <v>0.1633986928104575</v>
      </c>
      <c r="Y35" s="6">
        <v>25.816993464052285</v>
      </c>
      <c r="Z35" s="6">
        <v>39.86928104575163</v>
      </c>
      <c r="AA35" s="6" t="s">
        <v>59</v>
      </c>
      <c r="AB35" s="7" t="s">
        <v>177</v>
      </c>
      <c r="AC35" s="7" t="s">
        <v>184</v>
      </c>
      <c r="AD35" s="7" t="s">
        <v>185</v>
      </c>
      <c r="AE35" s="7"/>
    </row>
    <row r="36" ht="13.5" customHeight="1">
      <c r="A36" s="6">
        <f t="shared" si="21"/>
        <v>34</v>
      </c>
      <c r="B36" s="6">
        <f t="shared" si="22"/>
        <v>28</v>
      </c>
      <c r="C36" s="6" t="s">
        <v>186</v>
      </c>
      <c r="D36" s="6" t="s">
        <v>187</v>
      </c>
      <c r="E36" s="6" t="s">
        <v>188</v>
      </c>
      <c r="F36" s="6" t="s">
        <v>42</v>
      </c>
      <c r="G36" s="6" t="s">
        <v>189</v>
      </c>
      <c r="H36" s="6" t="s">
        <v>190</v>
      </c>
      <c r="I36" s="6">
        <v>49.2</v>
      </c>
      <c r="J36" s="6">
        <v>0.89</v>
      </c>
      <c r="K36" s="6">
        <v>13.519553072625696</v>
      </c>
      <c r="L36" s="6">
        <v>30.6145251396648</v>
      </c>
      <c r="M36" s="6">
        <v>3.351955307262569</v>
      </c>
      <c r="N36" s="6">
        <v>12.402234636871507</v>
      </c>
      <c r="O36" s="6">
        <v>2.6815642458100553</v>
      </c>
      <c r="P36" s="6">
        <v>0.11173184357541899</v>
      </c>
      <c r="Q36" s="6">
        <v>2.6815642458100553</v>
      </c>
      <c r="R36" s="6">
        <v>0.5586592178770949</v>
      </c>
      <c r="S36" s="6">
        <v>3.4636871508379885</v>
      </c>
      <c r="T36" s="6">
        <v>0.7821229050279328</v>
      </c>
      <c r="U36" s="6">
        <v>2.4581005586592175</v>
      </c>
      <c r="V36" s="6">
        <v>0.3351955307262569</v>
      </c>
      <c r="W36" s="6">
        <v>2.4581005586592175</v>
      </c>
      <c r="X36" s="6">
        <v>0.3351955307262569</v>
      </c>
      <c r="Y36" s="6">
        <v>24.245810055865917</v>
      </c>
      <c r="Z36" s="6">
        <v>37.318435754189935</v>
      </c>
      <c r="AA36" s="6" t="s">
        <v>59</v>
      </c>
      <c r="AB36" s="7" t="s">
        <v>191</v>
      </c>
      <c r="AC36" s="7" t="s">
        <v>192</v>
      </c>
      <c r="AD36" s="7" t="s">
        <v>192</v>
      </c>
      <c r="AE36" s="7"/>
    </row>
    <row r="37" ht="13.5" customHeight="1">
      <c r="A37" s="6">
        <f t="shared" si="21"/>
        <v>35</v>
      </c>
      <c r="B37" s="6">
        <f t="shared" si="22"/>
        <v>29</v>
      </c>
      <c r="C37" s="6" t="s">
        <v>193</v>
      </c>
      <c r="D37" s="6" t="s">
        <v>194</v>
      </c>
      <c r="E37" s="6" t="s">
        <v>195</v>
      </c>
      <c r="F37" s="6" t="s">
        <v>87</v>
      </c>
      <c r="G37" s="6" t="s">
        <v>196</v>
      </c>
      <c r="H37" s="6" t="s">
        <v>197</v>
      </c>
      <c r="I37" s="6">
        <v>109.32</v>
      </c>
      <c r="J37" s="6">
        <v>0.12</v>
      </c>
      <c r="K37" s="6">
        <v>22.0125786163522</v>
      </c>
      <c r="L37" s="6">
        <v>34.59119496855346</v>
      </c>
      <c r="M37" s="6">
        <v>4.40251572327044</v>
      </c>
      <c r="N37" s="6">
        <v>13.20754716981132</v>
      </c>
      <c r="O37" s="6">
        <v>2.515723270440252</v>
      </c>
      <c r="P37" s="6">
        <v>0.0</v>
      </c>
      <c r="Q37" s="6">
        <v>1.8867924528301887</v>
      </c>
      <c r="R37" s="6">
        <v>0.628930817610063</v>
      </c>
      <c r="S37" s="6">
        <v>1.8867924528301887</v>
      </c>
      <c r="T37" s="6">
        <v>0.628930817610063</v>
      </c>
      <c r="U37" s="6">
        <v>1.257861635220126</v>
      </c>
      <c r="V37" s="6">
        <v>0.0</v>
      </c>
      <c r="W37" s="6">
        <v>1.257861635220126</v>
      </c>
      <c r="X37" s="6">
        <v>0.0</v>
      </c>
      <c r="Y37" s="6">
        <v>15.723270440251572</v>
      </c>
      <c r="Z37" s="6">
        <v>23.270440251572325</v>
      </c>
      <c r="AA37" s="6" t="s">
        <v>59</v>
      </c>
      <c r="AB37" s="7" t="s">
        <v>198</v>
      </c>
      <c r="AC37" s="7" t="s">
        <v>199</v>
      </c>
      <c r="AD37" s="7" t="s">
        <v>200</v>
      </c>
      <c r="AE37" s="7"/>
    </row>
    <row r="38" ht="13.5" customHeight="1">
      <c r="A38" s="6">
        <f t="shared" si="21"/>
        <v>36</v>
      </c>
      <c r="B38" s="6">
        <f t="shared" si="22"/>
        <v>30</v>
      </c>
      <c r="C38" s="6" t="s">
        <v>201</v>
      </c>
      <c r="D38" s="6" t="s">
        <v>202</v>
      </c>
      <c r="E38" s="6" t="s">
        <v>203</v>
      </c>
      <c r="F38" s="6" t="s">
        <v>34</v>
      </c>
      <c r="G38" s="6">
        <v>2.0</v>
      </c>
      <c r="H38" s="6" t="s">
        <v>48</v>
      </c>
      <c r="I38" s="6"/>
      <c r="J38" s="6"/>
      <c r="K38" s="6"/>
      <c r="L38" s="6"/>
      <c r="M38" s="6"/>
      <c r="N38" s="6"/>
      <c r="O38" s="6"/>
      <c r="P38" s="6"/>
      <c r="Q38" s="6"/>
      <c r="R38" s="6"/>
      <c r="S38" s="6"/>
      <c r="T38" s="6"/>
      <c r="U38" s="6"/>
      <c r="V38" s="6"/>
      <c r="W38" s="6"/>
      <c r="X38" s="6"/>
      <c r="Y38" s="6"/>
      <c r="Z38" s="6"/>
      <c r="AA38" s="6"/>
      <c r="AB38" s="7" t="s">
        <v>204</v>
      </c>
      <c r="AC38" s="7"/>
      <c r="AD38" s="7"/>
      <c r="AE38" s="7"/>
    </row>
    <row r="39" ht="13.5" customHeight="1">
      <c r="A39" s="6">
        <f t="shared" si="21"/>
        <v>37</v>
      </c>
      <c r="B39" s="6">
        <f t="shared" si="22"/>
        <v>31</v>
      </c>
      <c r="C39" s="6" t="s">
        <v>205</v>
      </c>
      <c r="D39" s="6" t="s">
        <v>206</v>
      </c>
      <c r="E39" s="6" t="s">
        <v>207</v>
      </c>
      <c r="F39" s="6" t="s">
        <v>42</v>
      </c>
      <c r="G39" s="6" t="s">
        <v>208</v>
      </c>
      <c r="H39" s="6" t="s">
        <v>35</v>
      </c>
      <c r="I39" s="6">
        <v>49.8</v>
      </c>
      <c r="J39" s="6">
        <v>3.05</v>
      </c>
      <c r="K39" s="6">
        <v>26.432532347504623</v>
      </c>
      <c r="L39" s="6">
        <v>43.77079482439926</v>
      </c>
      <c r="M39" s="6">
        <v>4.916820702402958</v>
      </c>
      <c r="N39" s="6">
        <v>17.892791127541592</v>
      </c>
      <c r="O39" s="6">
        <v>2.883548983364141</v>
      </c>
      <c r="P39" s="6">
        <v>0.6284658040665436</v>
      </c>
      <c r="Q39" s="6">
        <v>1.515711645101664</v>
      </c>
      <c r="R39" s="6">
        <v>0.11090573012939003</v>
      </c>
      <c r="S39" s="6">
        <v>0.40665434380776344</v>
      </c>
      <c r="T39" s="6">
        <v>0.036968576709796676</v>
      </c>
      <c r="U39" s="6">
        <v>0.07393715341959335</v>
      </c>
      <c r="V39" s="6">
        <v>0.0</v>
      </c>
      <c r="W39" s="6">
        <v>0.036968576709796676</v>
      </c>
      <c r="X39" s="6">
        <v>0.0</v>
      </c>
      <c r="Y39" s="6">
        <v>1.2939001848428837</v>
      </c>
      <c r="Z39" s="6">
        <v>3.4750462107208877</v>
      </c>
      <c r="AA39" s="6" t="s">
        <v>59</v>
      </c>
      <c r="AB39" s="7" t="s">
        <v>209</v>
      </c>
      <c r="AC39" s="7" t="s">
        <v>210</v>
      </c>
      <c r="AD39" s="7" t="s">
        <v>211</v>
      </c>
      <c r="AE39" s="7"/>
    </row>
    <row r="40" ht="13.5" customHeight="1">
      <c r="A40" s="6">
        <f t="shared" si="21"/>
        <v>38</v>
      </c>
      <c r="B40" s="6">
        <f t="shared" si="22"/>
        <v>32</v>
      </c>
      <c r="C40" s="6" t="s">
        <v>212</v>
      </c>
      <c r="D40" s="6" t="s">
        <v>213</v>
      </c>
      <c r="E40" s="6" t="s">
        <v>214</v>
      </c>
      <c r="F40" s="6" t="s">
        <v>34</v>
      </c>
      <c r="G40" s="6" t="s">
        <v>215</v>
      </c>
      <c r="H40" s="6" t="s">
        <v>35</v>
      </c>
      <c r="I40" s="6">
        <v>21.62</v>
      </c>
      <c r="J40" s="6">
        <v>1.15</v>
      </c>
      <c r="K40" s="6">
        <v>26.865671641791046</v>
      </c>
      <c r="L40" s="6">
        <v>46.727898966704934</v>
      </c>
      <c r="M40" s="6">
        <v>4.822043628013777</v>
      </c>
      <c r="N40" s="6">
        <v>15.671641791044777</v>
      </c>
      <c r="O40" s="6">
        <v>1.894374282433984</v>
      </c>
      <c r="P40" s="6">
        <v>0.34443168771526983</v>
      </c>
      <c r="Q40" s="6">
        <v>1.1481056257175661</v>
      </c>
      <c r="R40" s="6">
        <v>0.0</v>
      </c>
      <c r="S40" s="6">
        <v>0.5166475315729047</v>
      </c>
      <c r="T40" s="6">
        <v>0.0</v>
      </c>
      <c r="U40" s="6">
        <v>0.0574052812858783</v>
      </c>
      <c r="V40" s="6">
        <v>0.0</v>
      </c>
      <c r="W40" s="6">
        <v>0.0</v>
      </c>
      <c r="X40" s="6">
        <v>0.0</v>
      </c>
      <c r="Y40" s="6">
        <v>1.9517795637198625</v>
      </c>
      <c r="Z40" s="6">
        <v>3.673938002296212</v>
      </c>
      <c r="AA40" s="6" t="s">
        <v>216</v>
      </c>
      <c r="AB40" s="7" t="s">
        <v>217</v>
      </c>
      <c r="AC40" s="7"/>
      <c r="AD40" s="7" t="s">
        <v>218</v>
      </c>
      <c r="AE40" s="7"/>
    </row>
    <row r="41" ht="13.5" customHeight="1">
      <c r="A41" s="6">
        <f t="shared" si="21"/>
        <v>39</v>
      </c>
      <c r="B41" s="6">
        <f t="shared" si="22"/>
        <v>33</v>
      </c>
      <c r="C41" s="6" t="s">
        <v>219</v>
      </c>
      <c r="D41" s="6" t="s">
        <v>220</v>
      </c>
      <c r="E41" s="6" t="s">
        <v>221</v>
      </c>
      <c r="F41" s="6" t="s">
        <v>34</v>
      </c>
      <c r="G41" s="6" t="s">
        <v>222</v>
      </c>
      <c r="H41" s="6" t="s">
        <v>35</v>
      </c>
      <c r="I41" s="6">
        <v>26.64</v>
      </c>
      <c r="J41" s="6">
        <v>0.97</v>
      </c>
      <c r="K41" s="6">
        <v>9.529089893311918</v>
      </c>
      <c r="L41" s="6">
        <v>36.2076616048699</v>
      </c>
      <c r="M41" s="6">
        <v>6.967295829451165</v>
      </c>
      <c r="N41" s="6">
        <v>33.68448630419825</v>
      </c>
      <c r="O41" s="6">
        <v>5.533124856282381</v>
      </c>
      <c r="P41" s="6">
        <v>1.155742550715342</v>
      </c>
      <c r="Q41" s="6">
        <v>2.637622634999933</v>
      </c>
      <c r="R41" s="6">
        <v>0.24124441999025617</v>
      </c>
      <c r="S41" s="6">
        <v>0.8591711668468767</v>
      </c>
      <c r="T41" s="6">
        <v>0.08993546919882858</v>
      </c>
      <c r="U41" s="6">
        <v>0.18303667519068756</v>
      </c>
      <c r="V41" s="6">
        <v>0.023633565645463997</v>
      </c>
      <c r="W41" s="6">
        <v>0.14484443287912308</v>
      </c>
      <c r="X41" s="6">
        <v>0.018685667845541036</v>
      </c>
      <c r="Y41" s="6">
        <v>2.7244249285743223</v>
      </c>
      <c r="Z41" s="6">
        <v>6.922598961171032</v>
      </c>
      <c r="AA41" s="6" t="s">
        <v>223</v>
      </c>
      <c r="AB41" s="7" t="s">
        <v>224</v>
      </c>
      <c r="AC41" s="7"/>
      <c r="AD41" s="7" t="s">
        <v>225</v>
      </c>
      <c r="AE41" s="7"/>
    </row>
    <row r="42" ht="13.5" customHeight="1">
      <c r="A42" s="6">
        <f t="shared" si="21"/>
        <v>40</v>
      </c>
      <c r="B42" s="6">
        <f t="shared" si="22"/>
        <v>34</v>
      </c>
      <c r="D42" s="6" t="s">
        <v>226</v>
      </c>
      <c r="E42" s="6" t="s">
        <v>162</v>
      </c>
      <c r="F42" s="6" t="s">
        <v>34</v>
      </c>
      <c r="G42" s="6"/>
      <c r="H42" s="6" t="s">
        <v>58</v>
      </c>
      <c r="I42" s="6">
        <v>8.694</v>
      </c>
      <c r="J42" s="6">
        <v>0.21</v>
      </c>
      <c r="K42" s="6">
        <v>13.72260100581732</v>
      </c>
      <c r="L42" s="6">
        <v>30.424320486656935</v>
      </c>
      <c r="M42" s="6">
        <v>0.0</v>
      </c>
      <c r="N42" s="6">
        <v>12.505042046655197</v>
      </c>
      <c r="O42" s="6">
        <v>2.7760310049818187</v>
      </c>
      <c r="P42" s="6">
        <v>0.2636159142675124</v>
      </c>
      <c r="Q42" s="6">
        <v>0.0</v>
      </c>
      <c r="R42" s="6">
        <v>0.7465443849302218</v>
      </c>
      <c r="S42" s="6">
        <v>0.0</v>
      </c>
      <c r="T42" s="6">
        <v>1.2423222574705006</v>
      </c>
      <c r="U42" s="6">
        <v>0.0</v>
      </c>
      <c r="V42" s="6">
        <v>0.0</v>
      </c>
      <c r="W42" s="6">
        <v>3.5932887012552204</v>
      </c>
      <c r="X42" s="6">
        <v>0.5230953766786287</v>
      </c>
      <c r="Y42" s="6">
        <v>34.20313882128666</v>
      </c>
      <c r="Z42" s="6">
        <v>40.30838954162123</v>
      </c>
      <c r="AA42" s="6" t="s">
        <v>227</v>
      </c>
      <c r="AB42" s="7" t="s">
        <v>228</v>
      </c>
      <c r="AC42" s="7" t="s">
        <v>49</v>
      </c>
      <c r="AD42" s="7" t="s">
        <v>228</v>
      </c>
      <c r="AE42" s="7"/>
    </row>
    <row r="43" ht="13.5" customHeight="1">
      <c r="A43" s="6">
        <f t="shared" si="21"/>
        <v>41</v>
      </c>
      <c r="B43" s="6">
        <f t="shared" si="22"/>
        <v>35</v>
      </c>
      <c r="C43" s="6" t="s">
        <v>229</v>
      </c>
      <c r="D43" s="6" t="s">
        <v>230</v>
      </c>
      <c r="E43" s="6" t="s">
        <v>231</v>
      </c>
      <c r="F43" s="6" t="s">
        <v>34</v>
      </c>
      <c r="G43" s="6">
        <v>1.0</v>
      </c>
      <c r="H43" s="6" t="s">
        <v>232</v>
      </c>
      <c r="I43" s="6">
        <v>30.1</v>
      </c>
      <c r="J43" s="6">
        <v>0.058</v>
      </c>
      <c r="K43" s="6"/>
      <c r="L43" s="6"/>
      <c r="M43" s="6"/>
      <c r="N43" s="6"/>
      <c r="O43" s="6"/>
      <c r="P43" s="6"/>
      <c r="Q43" s="6"/>
      <c r="R43" s="6"/>
      <c r="S43" s="6"/>
      <c r="T43" s="6"/>
      <c r="U43" s="6"/>
      <c r="V43" s="6"/>
      <c r="W43" s="6"/>
      <c r="X43" s="6"/>
      <c r="Y43" s="6"/>
      <c r="Z43" s="6"/>
      <c r="AA43" s="6"/>
      <c r="AB43" s="7" t="s">
        <v>233</v>
      </c>
      <c r="AC43" s="7" t="s">
        <v>234</v>
      </c>
      <c r="AD43" s="7"/>
      <c r="AE43" s="7"/>
    </row>
    <row r="44" ht="13.5" customHeight="1">
      <c r="A44" s="6">
        <f t="shared" si="21"/>
        <v>42</v>
      </c>
      <c r="B44" s="6">
        <f t="shared" si="22"/>
        <v>36</v>
      </c>
      <c r="D44" s="6" t="s">
        <v>235</v>
      </c>
      <c r="E44" s="6" t="s">
        <v>236</v>
      </c>
      <c r="F44" s="6" t="s">
        <v>34</v>
      </c>
      <c r="G44" s="6" t="s">
        <v>237</v>
      </c>
      <c r="H44" s="6" t="s">
        <v>197</v>
      </c>
      <c r="I44" s="6"/>
      <c r="J44" s="6"/>
      <c r="K44" s="6"/>
      <c r="L44" s="6"/>
      <c r="M44" s="6"/>
      <c r="N44" s="6"/>
      <c r="O44" s="6"/>
      <c r="P44" s="6"/>
      <c r="Q44" s="6"/>
      <c r="R44" s="6"/>
      <c r="S44" s="6"/>
      <c r="T44" s="6"/>
      <c r="U44" s="6"/>
      <c r="V44" s="6"/>
      <c r="W44" s="6"/>
      <c r="X44" s="6"/>
      <c r="Y44" s="6"/>
      <c r="Z44" s="6"/>
      <c r="AA44" s="6"/>
      <c r="AB44" s="7" t="s">
        <v>238</v>
      </c>
      <c r="AC44" s="7"/>
      <c r="AD44" s="7"/>
      <c r="AE44" s="7"/>
    </row>
    <row r="45" ht="13.5" customHeight="1">
      <c r="A45" s="6">
        <f t="shared" si="21"/>
        <v>43</v>
      </c>
      <c r="B45" s="6">
        <f t="shared" si="22"/>
        <v>37</v>
      </c>
      <c r="C45" s="6" t="s">
        <v>239</v>
      </c>
      <c r="D45" s="6" t="s">
        <v>240</v>
      </c>
      <c r="E45" s="6" t="s">
        <v>241</v>
      </c>
      <c r="F45" s="6" t="s">
        <v>34</v>
      </c>
      <c r="G45" s="6" t="s">
        <v>242</v>
      </c>
      <c r="H45" s="6" t="s">
        <v>35</v>
      </c>
      <c r="I45" s="6"/>
      <c r="J45" s="6"/>
      <c r="K45" s="6"/>
      <c r="L45" s="6"/>
      <c r="M45" s="6"/>
      <c r="N45" s="6"/>
      <c r="O45" s="6"/>
      <c r="P45" s="6"/>
      <c r="Q45" s="6"/>
      <c r="R45" s="6"/>
      <c r="S45" s="6"/>
      <c r="T45" s="6"/>
      <c r="U45" s="6"/>
      <c r="V45" s="6"/>
      <c r="W45" s="6"/>
      <c r="X45" s="6"/>
      <c r="Y45" s="6"/>
      <c r="Z45" s="6"/>
      <c r="AA45" s="6"/>
      <c r="AB45" s="7" t="s">
        <v>243</v>
      </c>
      <c r="AC45" s="7"/>
      <c r="AD45" s="7"/>
      <c r="AE45" s="7"/>
    </row>
    <row r="46" ht="13.5" customHeight="1">
      <c r="A46" s="6">
        <f t="shared" si="21"/>
        <v>44</v>
      </c>
      <c r="B46" s="6">
        <f t="shared" si="22"/>
        <v>38</v>
      </c>
      <c r="D46" s="6" t="s">
        <v>244</v>
      </c>
      <c r="E46" s="6" t="s">
        <v>245</v>
      </c>
      <c r="F46" s="6" t="s">
        <v>34</v>
      </c>
      <c r="G46" s="6">
        <v>1.0</v>
      </c>
      <c r="H46" s="6" t="s">
        <v>197</v>
      </c>
      <c r="I46" s="6"/>
      <c r="J46" s="6"/>
      <c r="K46" s="6"/>
      <c r="L46" s="6"/>
      <c r="M46" s="6"/>
      <c r="N46" s="6"/>
      <c r="O46" s="6"/>
      <c r="P46" s="6"/>
      <c r="Q46" s="6"/>
      <c r="R46" s="6"/>
      <c r="S46" s="6"/>
      <c r="T46" s="6"/>
      <c r="U46" s="6"/>
      <c r="V46" s="6"/>
      <c r="W46" s="6"/>
      <c r="X46" s="6"/>
      <c r="Y46" s="6"/>
      <c r="Z46" s="6"/>
      <c r="AA46" s="6"/>
      <c r="AB46" s="7" t="s">
        <v>246</v>
      </c>
      <c r="AC46" s="7"/>
      <c r="AD46" s="7"/>
      <c r="AE46" s="7"/>
    </row>
    <row r="47" ht="13.5" customHeight="1">
      <c r="A47" s="6">
        <f t="shared" si="21"/>
        <v>45</v>
      </c>
      <c r="B47" s="6">
        <f t="shared" si="22"/>
        <v>39</v>
      </c>
      <c r="D47" s="6" t="s">
        <v>230</v>
      </c>
      <c r="E47" s="6" t="s">
        <v>247</v>
      </c>
      <c r="F47" s="6" t="s">
        <v>34</v>
      </c>
      <c r="G47" s="6">
        <v>1.0</v>
      </c>
      <c r="H47" s="6" t="s">
        <v>35</v>
      </c>
      <c r="I47" s="6"/>
      <c r="J47" s="6"/>
      <c r="K47" s="6"/>
      <c r="L47" s="6"/>
      <c r="M47" s="6"/>
      <c r="N47" s="6"/>
      <c r="O47" s="6"/>
      <c r="P47" s="6"/>
      <c r="Q47" s="6"/>
      <c r="R47" s="6"/>
      <c r="S47" s="6"/>
      <c r="T47" s="6"/>
      <c r="U47" s="6"/>
      <c r="V47" s="6"/>
      <c r="W47" s="6"/>
      <c r="X47" s="6"/>
      <c r="Y47" s="6"/>
      <c r="Z47" s="6"/>
      <c r="AA47" s="6"/>
      <c r="AB47" s="7" t="s">
        <v>248</v>
      </c>
      <c r="AC47" s="7"/>
      <c r="AD47" s="7"/>
      <c r="AE47" s="7"/>
    </row>
    <row r="48" ht="13.5" customHeight="1">
      <c r="A48" s="6">
        <f t="shared" si="21"/>
        <v>46</v>
      </c>
      <c r="B48" s="6">
        <f t="shared" si="22"/>
        <v>40</v>
      </c>
      <c r="C48" s="6" t="s">
        <v>249</v>
      </c>
      <c r="D48" s="6" t="s">
        <v>250</v>
      </c>
      <c r="E48" s="6" t="s">
        <v>241</v>
      </c>
      <c r="F48" s="6" t="s">
        <v>34</v>
      </c>
      <c r="G48" s="6">
        <v>1.0</v>
      </c>
      <c r="H48" s="6" t="s">
        <v>35</v>
      </c>
      <c r="I48" s="6"/>
      <c r="J48" s="6"/>
      <c r="K48" s="6"/>
      <c r="L48" s="6"/>
      <c r="M48" s="6"/>
      <c r="N48" s="6"/>
      <c r="O48" s="6"/>
      <c r="P48" s="6"/>
      <c r="Q48" s="6"/>
      <c r="R48" s="6"/>
      <c r="S48" s="6"/>
      <c r="T48" s="6"/>
      <c r="U48" s="6"/>
      <c r="V48" s="6"/>
      <c r="W48" s="6"/>
      <c r="X48" s="6"/>
      <c r="Y48" s="6"/>
      <c r="Z48" s="6"/>
      <c r="AA48" s="6"/>
      <c r="AB48" s="7" t="s">
        <v>251</v>
      </c>
      <c r="AC48" s="7"/>
      <c r="AD48" s="7"/>
      <c r="AE48" s="7"/>
    </row>
    <row r="49" ht="13.5" customHeight="1">
      <c r="A49" s="6">
        <f t="shared" si="21"/>
        <v>47</v>
      </c>
      <c r="B49" s="6">
        <f t="shared" si="22"/>
        <v>41</v>
      </c>
      <c r="D49" s="6" t="s">
        <v>252</v>
      </c>
      <c r="E49" s="6" t="s">
        <v>241</v>
      </c>
      <c r="F49" s="6" t="s">
        <v>34</v>
      </c>
      <c r="G49" s="6">
        <v>1.0</v>
      </c>
      <c r="H49" s="6" t="s">
        <v>35</v>
      </c>
      <c r="I49" s="6"/>
      <c r="J49" s="6"/>
      <c r="K49" s="6"/>
      <c r="L49" s="6"/>
      <c r="M49" s="6"/>
      <c r="N49" s="6"/>
      <c r="O49" s="6"/>
      <c r="P49" s="6"/>
      <c r="Q49" s="6"/>
      <c r="R49" s="6"/>
      <c r="S49" s="6"/>
      <c r="T49" s="6"/>
      <c r="U49" s="6"/>
      <c r="V49" s="6"/>
      <c r="W49" s="6"/>
      <c r="X49" s="6"/>
      <c r="Y49" s="6"/>
      <c r="Z49" s="6"/>
      <c r="AA49" s="6"/>
      <c r="AB49" s="7" t="s">
        <v>253</v>
      </c>
      <c r="AC49" s="7"/>
      <c r="AD49" s="7"/>
      <c r="AE49" s="7"/>
    </row>
    <row r="50" ht="13.5" customHeight="1">
      <c r="A50" s="6">
        <f t="shared" si="21"/>
        <v>48</v>
      </c>
      <c r="B50" s="6">
        <f t="shared" si="22"/>
        <v>42</v>
      </c>
      <c r="D50" s="6" t="s">
        <v>254</v>
      </c>
      <c r="E50" s="6" t="s">
        <v>241</v>
      </c>
      <c r="F50" s="6" t="s">
        <v>34</v>
      </c>
      <c r="G50" s="6">
        <v>1.0</v>
      </c>
      <c r="H50" s="6" t="s">
        <v>35</v>
      </c>
      <c r="I50" s="6"/>
      <c r="J50" s="6"/>
      <c r="K50" s="6"/>
      <c r="L50" s="6"/>
      <c r="M50" s="6"/>
      <c r="N50" s="6"/>
      <c r="O50" s="6"/>
      <c r="P50" s="6"/>
      <c r="Q50" s="6"/>
      <c r="R50" s="6"/>
      <c r="S50" s="6"/>
      <c r="T50" s="6"/>
      <c r="U50" s="6"/>
      <c r="V50" s="6"/>
      <c r="W50" s="6"/>
      <c r="X50" s="6"/>
      <c r="Y50" s="6"/>
      <c r="Z50" s="6"/>
      <c r="AA50" s="6"/>
      <c r="AB50" s="7" t="s">
        <v>253</v>
      </c>
      <c r="AC50" s="7"/>
      <c r="AD50" s="7"/>
      <c r="AE50" s="7"/>
    </row>
    <row r="51" ht="13.5" customHeight="1">
      <c r="A51" s="6">
        <f t="shared" si="21"/>
        <v>49</v>
      </c>
      <c r="B51" s="6">
        <f t="shared" si="22"/>
        <v>43</v>
      </c>
      <c r="C51" s="6" t="s">
        <v>255</v>
      </c>
      <c r="D51" s="6" t="s">
        <v>256</v>
      </c>
      <c r="E51" s="6" t="s">
        <v>241</v>
      </c>
      <c r="F51" s="6" t="s">
        <v>34</v>
      </c>
      <c r="G51" s="6">
        <v>1.0</v>
      </c>
      <c r="H51" s="6" t="s">
        <v>257</v>
      </c>
      <c r="I51" s="6"/>
      <c r="J51" s="6"/>
      <c r="K51" s="6"/>
      <c r="L51" s="6"/>
      <c r="M51" s="6"/>
      <c r="N51" s="6"/>
      <c r="O51" s="6"/>
      <c r="P51" s="6"/>
      <c r="Q51" s="6"/>
      <c r="R51" s="6"/>
      <c r="S51" s="6"/>
      <c r="T51" s="6"/>
      <c r="U51" s="6"/>
      <c r="V51" s="6"/>
      <c r="W51" s="6"/>
      <c r="X51" s="6"/>
      <c r="Y51" s="6"/>
      <c r="Z51" s="6"/>
      <c r="AA51" s="6"/>
      <c r="AB51" s="7" t="s">
        <v>258</v>
      </c>
      <c r="AC51" s="7"/>
      <c r="AD51" s="7"/>
      <c r="AE51" s="7"/>
    </row>
    <row r="52" ht="13.5" customHeight="1">
      <c r="A52" s="6">
        <f t="shared" si="21"/>
        <v>50</v>
      </c>
      <c r="B52" s="6">
        <f t="shared" si="22"/>
        <v>44</v>
      </c>
      <c r="C52" s="6" t="s">
        <v>259</v>
      </c>
      <c r="D52" s="6" t="s">
        <v>260</v>
      </c>
      <c r="E52" s="6" t="s">
        <v>261</v>
      </c>
      <c r="F52" s="6" t="s">
        <v>34</v>
      </c>
      <c r="G52" s="6">
        <v>1.0</v>
      </c>
      <c r="H52" s="6" t="s">
        <v>197</v>
      </c>
      <c r="I52" s="6">
        <v>6.3585</v>
      </c>
      <c r="J52" s="6">
        <v>0.0785</v>
      </c>
      <c r="K52" s="6"/>
      <c r="L52" s="6"/>
      <c r="M52" s="6">
        <v>4.41</v>
      </c>
      <c r="N52" s="6">
        <v>17.19</v>
      </c>
      <c r="O52" s="6"/>
      <c r="P52" s="6"/>
      <c r="Q52" s="6"/>
      <c r="R52" s="6">
        <v>0.48</v>
      </c>
      <c r="S52" s="6">
        <v>2.65</v>
      </c>
      <c r="T52" s="6"/>
      <c r="U52" s="6"/>
      <c r="V52" s="6"/>
      <c r="W52" s="6"/>
      <c r="X52" s="6"/>
      <c r="Y52" s="6"/>
      <c r="Z52" s="6">
        <v>3.13</v>
      </c>
      <c r="AA52" s="6" t="s">
        <v>262</v>
      </c>
      <c r="AB52" s="7" t="s">
        <v>263</v>
      </c>
      <c r="AC52" s="7" t="s">
        <v>263</v>
      </c>
      <c r="AD52" s="7" t="s">
        <v>264</v>
      </c>
      <c r="AE52" s="7"/>
    </row>
    <row r="53" ht="13.5" customHeight="1">
      <c r="A53" s="6">
        <f t="shared" si="21"/>
        <v>51</v>
      </c>
      <c r="B53" s="6">
        <f t="shared" si="22"/>
        <v>45</v>
      </c>
      <c r="C53" s="6" t="s">
        <v>265</v>
      </c>
      <c r="D53" s="9" t="s">
        <v>266</v>
      </c>
      <c r="E53" s="6" t="s">
        <v>267</v>
      </c>
      <c r="F53" s="6" t="s">
        <v>34</v>
      </c>
      <c r="G53" s="6" t="s">
        <v>127</v>
      </c>
      <c r="H53" s="6" t="s">
        <v>197</v>
      </c>
      <c r="I53" s="6"/>
      <c r="J53" s="6"/>
      <c r="K53" s="6"/>
      <c r="L53" s="6"/>
      <c r="M53" s="6"/>
      <c r="N53" s="6"/>
      <c r="O53" s="6"/>
      <c r="P53" s="6"/>
      <c r="Q53" s="6"/>
      <c r="R53" s="6"/>
      <c r="S53" s="6"/>
      <c r="T53" s="6"/>
      <c r="U53" s="6"/>
      <c r="V53" s="6"/>
      <c r="W53" s="6"/>
      <c r="X53" s="6"/>
      <c r="Y53" s="6"/>
      <c r="Z53" s="6"/>
      <c r="AA53" s="6"/>
      <c r="AB53" s="7" t="s">
        <v>268</v>
      </c>
      <c r="AC53" s="7" t="s">
        <v>268</v>
      </c>
      <c r="AD53" s="7"/>
      <c r="AE53" s="7"/>
    </row>
    <row r="54" ht="13.5" customHeight="1">
      <c r="A54" s="6">
        <f t="shared" si="21"/>
        <v>52</v>
      </c>
      <c r="B54" s="6">
        <f t="shared" si="22"/>
        <v>46</v>
      </c>
      <c r="C54" s="6" t="s">
        <v>269</v>
      </c>
      <c r="D54" s="6" t="s">
        <v>270</v>
      </c>
      <c r="E54" s="6" t="s">
        <v>271</v>
      </c>
      <c r="F54" s="6" t="s">
        <v>73</v>
      </c>
      <c r="G54" s="6" t="s">
        <v>272</v>
      </c>
      <c r="H54" s="6" t="s">
        <v>35</v>
      </c>
      <c r="I54" s="6">
        <v>16.5</v>
      </c>
      <c r="J54" s="6">
        <v>0.43</v>
      </c>
      <c r="K54" s="6">
        <v>20.34774944221268</v>
      </c>
      <c r="L54" s="6">
        <v>39.723100127463425</v>
      </c>
      <c r="M54" s="6">
        <v>5.707943234491665</v>
      </c>
      <c r="N54" s="6">
        <v>23.65700047076384</v>
      </c>
      <c r="O54" s="6">
        <v>4.505462778684431</v>
      </c>
      <c r="P54" s="6">
        <v>1.1129249576224993</v>
      </c>
      <c r="Q54" s="6">
        <v>2.6850814783083945</v>
      </c>
      <c r="R54" s="6">
        <v>0.295083354603029</v>
      </c>
      <c r="S54" s="6">
        <v>1.2059544721403241</v>
      </c>
      <c r="T54" s="6">
        <v>0.19874102136813285</v>
      </c>
      <c r="U54" s="6">
        <v>0.4014451907945655</v>
      </c>
      <c r="V54" s="6">
        <v>0.0</v>
      </c>
      <c r="W54" s="6">
        <v>0.14562025710734675</v>
      </c>
      <c r="X54" s="6">
        <v>0.013893214439706132</v>
      </c>
      <c r="Y54" s="6">
        <v>0.0</v>
      </c>
      <c r="Z54" s="6">
        <v>4.9458189887615</v>
      </c>
      <c r="AA54" s="6" t="s">
        <v>49</v>
      </c>
      <c r="AB54" s="7" t="s">
        <v>273</v>
      </c>
      <c r="AC54" s="7" t="s">
        <v>274</v>
      </c>
      <c r="AD54" s="7" t="s">
        <v>273</v>
      </c>
      <c r="AE54" s="7"/>
    </row>
    <row r="55" ht="13.5" customHeight="1">
      <c r="A55" s="6">
        <f t="shared" si="21"/>
        <v>53</v>
      </c>
      <c r="B55" s="6">
        <f t="shared" si="22"/>
        <v>47</v>
      </c>
      <c r="D55" s="6" t="s">
        <v>275</v>
      </c>
      <c r="E55" s="6" t="s">
        <v>276</v>
      </c>
      <c r="F55" s="6" t="s">
        <v>73</v>
      </c>
      <c r="G55" s="6" t="s">
        <v>132</v>
      </c>
      <c r="H55" s="6" t="s">
        <v>35</v>
      </c>
      <c r="I55" s="6">
        <v>31.85</v>
      </c>
      <c r="J55" s="6">
        <v>9.5</v>
      </c>
      <c r="K55" s="6">
        <v>30.088880757631436</v>
      </c>
      <c r="L55" s="6">
        <v>41.36516176858202</v>
      </c>
      <c r="M55" s="6">
        <v>3.005737333794886</v>
      </c>
      <c r="N55" s="6">
        <v>19.963713487807826</v>
      </c>
      <c r="O55" s="6">
        <v>2.910136700462652</v>
      </c>
      <c r="P55" s="6">
        <v>0.5485194779184737</v>
      </c>
      <c r="Q55" s="6">
        <v>1.5143907201065243</v>
      </c>
      <c r="R55" s="6">
        <v>0.0</v>
      </c>
      <c r="S55" s="6">
        <v>0.19346953565257158</v>
      </c>
      <c r="T55" s="6">
        <v>0.01660753752528838</v>
      </c>
      <c r="U55" s="6">
        <v>0.025613238586225114</v>
      </c>
      <c r="V55" s="6">
        <v>0.0</v>
      </c>
      <c r="W55" s="6">
        <v>0.004390068314993465</v>
      </c>
      <c r="X55" s="6">
        <v>2.7359606762900117E-4</v>
      </c>
      <c r="Y55" s="6">
        <v>0.3631057775494517</v>
      </c>
      <c r="Z55" s="6">
        <v>2.1178504738026835</v>
      </c>
      <c r="AA55" s="6" t="s">
        <v>277</v>
      </c>
      <c r="AB55" s="7" t="s">
        <v>273</v>
      </c>
      <c r="AC55" s="7"/>
      <c r="AD55" s="7" t="s">
        <v>273</v>
      </c>
      <c r="AE55" s="7"/>
    </row>
    <row r="56" ht="13.5" customHeight="1">
      <c r="A56" s="6">
        <f t="shared" si="21"/>
        <v>54</v>
      </c>
      <c r="B56" s="6"/>
      <c r="D56" s="6" t="s">
        <v>278</v>
      </c>
      <c r="E56" s="6" t="s">
        <v>276</v>
      </c>
      <c r="F56" s="6" t="s">
        <v>73</v>
      </c>
      <c r="G56" s="6" t="s">
        <v>279</v>
      </c>
      <c r="H56" s="6" t="s">
        <v>35</v>
      </c>
      <c r="I56" s="6"/>
      <c r="J56" s="6"/>
      <c r="K56" s="6"/>
      <c r="L56" s="6"/>
      <c r="M56" s="6"/>
      <c r="N56" s="6"/>
      <c r="O56" s="6"/>
      <c r="P56" s="6"/>
      <c r="Q56" s="6"/>
      <c r="R56" s="6"/>
      <c r="S56" s="6"/>
      <c r="T56" s="6"/>
      <c r="U56" s="6"/>
      <c r="V56" s="6"/>
      <c r="W56" s="6"/>
      <c r="X56" s="6"/>
      <c r="Y56" s="6"/>
      <c r="Z56" s="6"/>
      <c r="AA56" s="6"/>
      <c r="AB56" s="7" t="s">
        <v>273</v>
      </c>
      <c r="AC56" s="7" t="s">
        <v>280</v>
      </c>
      <c r="AD56" s="7" t="s">
        <v>273</v>
      </c>
      <c r="AE56" s="7"/>
    </row>
    <row r="57" ht="13.5" customHeight="1">
      <c r="A57" s="6">
        <f t="shared" si="21"/>
        <v>55</v>
      </c>
      <c r="B57" s="6"/>
      <c r="D57" s="6" t="s">
        <v>281</v>
      </c>
      <c r="E57" s="6" t="s">
        <v>276</v>
      </c>
      <c r="F57" s="6" t="s">
        <v>73</v>
      </c>
      <c r="G57" s="6">
        <v>1.0</v>
      </c>
      <c r="H57" s="6" t="s">
        <v>35</v>
      </c>
      <c r="I57" s="6"/>
      <c r="J57" s="6"/>
      <c r="K57" s="6"/>
      <c r="L57" s="6"/>
      <c r="M57" s="6"/>
      <c r="N57" s="6"/>
      <c r="O57" s="6"/>
      <c r="P57" s="6"/>
      <c r="Q57" s="6"/>
      <c r="R57" s="6"/>
      <c r="S57" s="6"/>
      <c r="T57" s="6"/>
      <c r="U57" s="6"/>
      <c r="V57" s="6"/>
      <c r="W57" s="6"/>
      <c r="X57" s="6"/>
      <c r="Y57" s="6"/>
      <c r="Z57" s="6"/>
      <c r="AA57" s="6"/>
      <c r="AB57" s="7" t="s">
        <v>273</v>
      </c>
      <c r="AC57" s="7"/>
      <c r="AD57" s="7" t="s">
        <v>273</v>
      </c>
      <c r="AE57" s="7"/>
    </row>
    <row r="58" ht="13.5" customHeight="1">
      <c r="A58" s="6">
        <f t="shared" si="21"/>
        <v>56</v>
      </c>
      <c r="B58" s="6"/>
      <c r="D58" s="6" t="s">
        <v>282</v>
      </c>
      <c r="E58" s="6" t="s">
        <v>276</v>
      </c>
      <c r="F58" s="6" t="s">
        <v>73</v>
      </c>
      <c r="G58" s="6">
        <v>1.0</v>
      </c>
      <c r="H58" s="6" t="s">
        <v>35</v>
      </c>
      <c r="I58" s="6"/>
      <c r="J58" s="6"/>
      <c r="K58" s="6"/>
      <c r="L58" s="6"/>
      <c r="M58" s="6"/>
      <c r="N58" s="6"/>
      <c r="O58" s="6"/>
      <c r="P58" s="6"/>
      <c r="Q58" s="6"/>
      <c r="R58" s="6"/>
      <c r="S58" s="6"/>
      <c r="T58" s="6"/>
      <c r="U58" s="6"/>
      <c r="V58" s="6"/>
      <c r="W58" s="6"/>
      <c r="X58" s="6"/>
      <c r="Y58" s="6"/>
      <c r="Z58" s="6"/>
      <c r="AA58" s="6"/>
      <c r="AB58" s="7" t="s">
        <v>273</v>
      </c>
      <c r="AC58" s="7"/>
      <c r="AD58" s="7" t="s">
        <v>273</v>
      </c>
      <c r="AE58" s="7"/>
    </row>
    <row r="59" ht="13.5" customHeight="1">
      <c r="A59" s="6">
        <f t="shared" si="21"/>
        <v>57</v>
      </c>
      <c r="B59" s="6"/>
      <c r="D59" s="6" t="s">
        <v>283</v>
      </c>
      <c r="E59" s="6" t="s">
        <v>276</v>
      </c>
      <c r="F59" s="6" t="s">
        <v>73</v>
      </c>
      <c r="G59" s="6">
        <v>1.0</v>
      </c>
      <c r="H59" s="6" t="s">
        <v>35</v>
      </c>
      <c r="I59" s="6"/>
      <c r="J59" s="6"/>
      <c r="K59" s="6"/>
      <c r="L59" s="6"/>
      <c r="M59" s="6"/>
      <c r="N59" s="6"/>
      <c r="O59" s="6"/>
      <c r="P59" s="6"/>
      <c r="Q59" s="6"/>
      <c r="R59" s="6"/>
      <c r="S59" s="6"/>
      <c r="T59" s="6"/>
      <c r="U59" s="6"/>
      <c r="V59" s="6"/>
      <c r="W59" s="6"/>
      <c r="X59" s="6"/>
      <c r="Y59" s="6"/>
      <c r="Z59" s="6"/>
      <c r="AA59" s="6"/>
      <c r="AB59" s="7" t="s">
        <v>273</v>
      </c>
      <c r="AC59" s="7"/>
      <c r="AD59" s="7" t="s">
        <v>273</v>
      </c>
      <c r="AE59" s="7"/>
    </row>
    <row r="60" ht="13.5" customHeight="1">
      <c r="A60" s="6">
        <f t="shared" si="21"/>
        <v>58</v>
      </c>
      <c r="B60" s="6"/>
      <c r="D60" s="6" t="s">
        <v>284</v>
      </c>
      <c r="E60" s="6" t="s">
        <v>276</v>
      </c>
      <c r="F60" s="6" t="s">
        <v>73</v>
      </c>
      <c r="G60" s="6">
        <v>1.0</v>
      </c>
      <c r="H60" s="6" t="s">
        <v>35</v>
      </c>
      <c r="I60" s="6"/>
      <c r="J60" s="6"/>
      <c r="K60" s="6"/>
      <c r="L60" s="6"/>
      <c r="M60" s="6"/>
      <c r="N60" s="6"/>
      <c r="O60" s="6"/>
      <c r="P60" s="6"/>
      <c r="Q60" s="6"/>
      <c r="R60" s="6"/>
      <c r="S60" s="6"/>
      <c r="T60" s="6"/>
      <c r="U60" s="6"/>
      <c r="V60" s="6"/>
      <c r="W60" s="6"/>
      <c r="X60" s="6"/>
      <c r="Y60" s="6"/>
      <c r="Z60" s="6"/>
      <c r="AA60" s="6"/>
      <c r="AB60" s="7" t="s">
        <v>273</v>
      </c>
      <c r="AC60" s="7"/>
      <c r="AD60" s="7" t="s">
        <v>273</v>
      </c>
      <c r="AE60" s="7"/>
    </row>
    <row r="61" ht="13.5" customHeight="1">
      <c r="A61" s="6">
        <f t="shared" si="21"/>
        <v>59</v>
      </c>
      <c r="B61" s="6"/>
      <c r="D61" s="6" t="s">
        <v>285</v>
      </c>
      <c r="E61" s="6" t="s">
        <v>276</v>
      </c>
      <c r="F61" s="6" t="s">
        <v>73</v>
      </c>
      <c r="G61" s="6">
        <v>1.0</v>
      </c>
      <c r="H61" s="6" t="s">
        <v>35</v>
      </c>
      <c r="I61" s="6"/>
      <c r="J61" s="6"/>
      <c r="K61" s="6"/>
      <c r="L61" s="6"/>
      <c r="M61" s="6"/>
      <c r="N61" s="6"/>
      <c r="O61" s="6"/>
      <c r="P61" s="6"/>
      <c r="Q61" s="6"/>
      <c r="R61" s="6"/>
      <c r="S61" s="6"/>
      <c r="T61" s="6"/>
      <c r="U61" s="6"/>
      <c r="V61" s="6"/>
      <c r="W61" s="6"/>
      <c r="X61" s="6"/>
      <c r="Y61" s="6"/>
      <c r="Z61" s="6"/>
      <c r="AA61" s="6"/>
      <c r="AB61" s="7" t="s">
        <v>273</v>
      </c>
      <c r="AC61" s="7"/>
      <c r="AD61" s="7" t="s">
        <v>273</v>
      </c>
      <c r="AE61" s="7"/>
    </row>
    <row r="62" ht="13.5" customHeight="1">
      <c r="A62" s="6">
        <f t="shared" si="21"/>
        <v>60</v>
      </c>
      <c r="B62" s="6"/>
      <c r="D62" s="6" t="s">
        <v>286</v>
      </c>
      <c r="E62" s="6" t="s">
        <v>276</v>
      </c>
      <c r="F62" s="6" t="s">
        <v>73</v>
      </c>
      <c r="G62" s="6">
        <v>1.0</v>
      </c>
      <c r="H62" s="6" t="s">
        <v>35</v>
      </c>
      <c r="I62" s="6"/>
      <c r="J62" s="6"/>
      <c r="K62" s="6"/>
      <c r="L62" s="6"/>
      <c r="M62" s="6"/>
      <c r="N62" s="6"/>
      <c r="O62" s="6"/>
      <c r="P62" s="6"/>
      <c r="Q62" s="6"/>
      <c r="R62" s="6"/>
      <c r="S62" s="6"/>
      <c r="T62" s="6"/>
      <c r="U62" s="6"/>
      <c r="V62" s="6"/>
      <c r="W62" s="6"/>
      <c r="X62" s="6"/>
      <c r="Y62" s="6"/>
      <c r="Z62" s="6"/>
      <c r="AA62" s="6"/>
      <c r="AB62" s="7" t="s">
        <v>273</v>
      </c>
      <c r="AC62" s="7"/>
      <c r="AD62" s="7" t="s">
        <v>273</v>
      </c>
      <c r="AE62" s="7"/>
    </row>
    <row r="63" ht="13.5" customHeight="1">
      <c r="A63" s="6">
        <f t="shared" si="21"/>
        <v>61</v>
      </c>
      <c r="B63" s="6"/>
      <c r="D63" s="6" t="s">
        <v>287</v>
      </c>
      <c r="E63" s="6" t="s">
        <v>276</v>
      </c>
      <c r="F63" s="6" t="s">
        <v>73</v>
      </c>
      <c r="G63" s="6">
        <v>1.0</v>
      </c>
      <c r="H63" s="6" t="s">
        <v>35</v>
      </c>
      <c r="I63" s="6">
        <v>29.7</v>
      </c>
      <c r="J63" s="6">
        <v>1.25</v>
      </c>
      <c r="K63" s="6">
        <v>30.088880757631436</v>
      </c>
      <c r="L63" s="6">
        <v>41.36516176858202</v>
      </c>
      <c r="M63" s="6">
        <v>3.005737333794886</v>
      </c>
      <c r="N63" s="6">
        <v>19.963713487807826</v>
      </c>
      <c r="O63" s="6">
        <v>2.910136700462652</v>
      </c>
      <c r="P63" s="6">
        <v>0.5485194779184737</v>
      </c>
      <c r="Q63" s="6">
        <v>1.5143907201065243</v>
      </c>
      <c r="R63" s="6">
        <v>0.0</v>
      </c>
      <c r="S63" s="6">
        <v>0.19346953565257158</v>
      </c>
      <c r="T63" s="6">
        <v>0.01660753752528838</v>
      </c>
      <c r="U63" s="6">
        <v>0.025613238586225114</v>
      </c>
      <c r="V63" s="6">
        <v>0.0</v>
      </c>
      <c r="W63" s="6">
        <v>0.004390068314993465</v>
      </c>
      <c r="X63" s="6">
        <v>2.7359606762900117E-4</v>
      </c>
      <c r="Y63" s="6">
        <v>0.3631057775494517</v>
      </c>
      <c r="Z63" s="6">
        <v>2.1178504738026835</v>
      </c>
      <c r="AA63" s="6" t="s">
        <v>277</v>
      </c>
      <c r="AB63" s="7" t="s">
        <v>273</v>
      </c>
      <c r="AC63" s="7"/>
      <c r="AD63" s="7" t="s">
        <v>273</v>
      </c>
      <c r="AE63" s="7"/>
    </row>
    <row r="64" ht="13.5" customHeight="1">
      <c r="A64" s="6">
        <f t="shared" si="21"/>
        <v>62</v>
      </c>
      <c r="B64" s="6">
        <v>48.0</v>
      </c>
      <c r="C64" s="6" t="s">
        <v>288</v>
      </c>
      <c r="D64" s="6" t="s">
        <v>289</v>
      </c>
      <c r="E64" s="6" t="s">
        <v>290</v>
      </c>
      <c r="F64" s="6" t="s">
        <v>73</v>
      </c>
      <c r="G64" s="6" t="s">
        <v>291</v>
      </c>
      <c r="H64" s="6" t="s">
        <v>197</v>
      </c>
      <c r="I64" s="6">
        <v>34.48</v>
      </c>
      <c r="J64" s="6">
        <v>0.064</v>
      </c>
      <c r="K64" s="6">
        <v>20.8</v>
      </c>
      <c r="L64" s="6">
        <v>25.0</v>
      </c>
      <c r="M64" s="6">
        <v>4.9</v>
      </c>
      <c r="N64" s="6">
        <v>19.0</v>
      </c>
      <c r="O64" s="6">
        <v>3.6</v>
      </c>
      <c r="P64" s="6">
        <v>0.7</v>
      </c>
      <c r="Q64" s="6">
        <v>3.5</v>
      </c>
      <c r="R64" s="6">
        <v>0.4</v>
      </c>
      <c r="S64" s="6">
        <v>2.7</v>
      </c>
      <c r="T64" s="6">
        <v>0.5</v>
      </c>
      <c r="U64" s="6">
        <v>1.5</v>
      </c>
      <c r="V64" s="6">
        <v>0.5</v>
      </c>
      <c r="W64" s="6">
        <v>1.3</v>
      </c>
      <c r="X64" s="6">
        <v>0.2</v>
      </c>
      <c r="Y64" s="6">
        <v>15.3</v>
      </c>
      <c r="Z64" s="6">
        <v>25.9</v>
      </c>
      <c r="AA64" s="6" t="s">
        <v>292</v>
      </c>
      <c r="AB64" s="7"/>
      <c r="AC64" s="7"/>
      <c r="AD64" s="7" t="s">
        <v>293</v>
      </c>
      <c r="AE64" s="7"/>
    </row>
    <row r="65" ht="13.5" customHeight="1">
      <c r="A65" s="6">
        <f t="shared" si="21"/>
        <v>63</v>
      </c>
      <c r="B65" s="6">
        <f t="shared" ref="B65:B92" si="23">B64+1</f>
        <v>49</v>
      </c>
      <c r="C65" s="6" t="s">
        <v>294</v>
      </c>
      <c r="D65" s="6" t="s">
        <v>295</v>
      </c>
      <c r="E65" s="6" t="s">
        <v>296</v>
      </c>
      <c r="F65" s="6" t="s">
        <v>42</v>
      </c>
      <c r="G65" s="6">
        <v>1.0</v>
      </c>
      <c r="H65" s="6" t="s">
        <v>297</v>
      </c>
      <c r="I65" s="6">
        <v>8.0</v>
      </c>
      <c r="J65" s="6">
        <v>0.0469</v>
      </c>
      <c r="K65" s="6">
        <v>19.047619047619047</v>
      </c>
      <c r="L65" s="6">
        <v>40.476190476190474</v>
      </c>
      <c r="M65" s="6">
        <v>4.761904761904762</v>
      </c>
      <c r="N65" s="6">
        <v>16.666666666666664</v>
      </c>
      <c r="O65" s="6">
        <v>2.380952380952381</v>
      </c>
      <c r="P65" s="6">
        <v>0.0</v>
      </c>
      <c r="Q65" s="6">
        <v>2.380952380952381</v>
      </c>
      <c r="R65" s="6">
        <v>0.0</v>
      </c>
      <c r="S65" s="6">
        <v>2.380952380952381</v>
      </c>
      <c r="T65" s="6">
        <v>0.0</v>
      </c>
      <c r="U65" s="6">
        <v>0.0</v>
      </c>
      <c r="V65" s="6">
        <v>0.0</v>
      </c>
      <c r="W65" s="6">
        <v>0.0</v>
      </c>
      <c r="X65" s="6">
        <v>0.0</v>
      </c>
      <c r="Y65" s="6">
        <v>11.904761904761903</v>
      </c>
      <c r="Z65" s="6">
        <v>16.666666666666664</v>
      </c>
      <c r="AA65" s="6" t="s">
        <v>59</v>
      </c>
      <c r="AB65" s="10" t="s">
        <v>298</v>
      </c>
      <c r="AC65" s="7" t="s">
        <v>299</v>
      </c>
      <c r="AD65" s="7" t="s">
        <v>300</v>
      </c>
      <c r="AE65" s="7"/>
    </row>
    <row r="66" ht="13.5" customHeight="1">
      <c r="A66" s="6">
        <f t="shared" si="21"/>
        <v>64</v>
      </c>
      <c r="B66" s="6">
        <f t="shared" si="23"/>
        <v>50</v>
      </c>
      <c r="D66" s="6" t="s">
        <v>301</v>
      </c>
      <c r="E66" s="6" t="s">
        <v>302</v>
      </c>
      <c r="F66" s="6" t="s">
        <v>42</v>
      </c>
      <c r="G66" s="6" t="s">
        <v>163</v>
      </c>
      <c r="H66" s="6" t="s">
        <v>58</v>
      </c>
      <c r="I66" s="6"/>
      <c r="J66" s="6"/>
      <c r="K66" s="6"/>
      <c r="L66" s="6"/>
      <c r="M66" s="6"/>
      <c r="N66" s="6"/>
      <c r="O66" s="6"/>
      <c r="P66" s="6"/>
      <c r="Q66" s="6"/>
      <c r="R66" s="6"/>
      <c r="S66" s="6"/>
      <c r="T66" s="6"/>
      <c r="U66" s="6"/>
      <c r="V66" s="6"/>
      <c r="W66" s="6"/>
      <c r="X66" s="6"/>
      <c r="Y66" s="6"/>
      <c r="Z66" s="6"/>
      <c r="AA66" s="6"/>
      <c r="AB66" s="7" t="s">
        <v>303</v>
      </c>
      <c r="AC66" s="7" t="s">
        <v>304</v>
      </c>
      <c r="AD66" s="7"/>
      <c r="AE66" s="7"/>
    </row>
    <row r="67" ht="13.5" customHeight="1">
      <c r="A67" s="6">
        <f t="shared" si="21"/>
        <v>65</v>
      </c>
      <c r="B67" s="6">
        <f t="shared" si="23"/>
        <v>51</v>
      </c>
      <c r="D67" s="6" t="s">
        <v>305</v>
      </c>
      <c r="E67" s="6" t="s">
        <v>306</v>
      </c>
      <c r="F67" s="6" t="s">
        <v>42</v>
      </c>
      <c r="G67" s="6">
        <v>1.0</v>
      </c>
      <c r="H67" s="6" t="s">
        <v>105</v>
      </c>
      <c r="I67" s="6"/>
      <c r="J67" s="6"/>
      <c r="K67" s="6"/>
      <c r="L67" s="6"/>
      <c r="M67" s="6"/>
      <c r="N67" s="6"/>
      <c r="O67" s="6"/>
      <c r="P67" s="6"/>
      <c r="Q67" s="6"/>
      <c r="R67" s="6"/>
      <c r="S67" s="6"/>
      <c r="T67" s="6"/>
      <c r="U67" s="6"/>
      <c r="V67" s="6"/>
      <c r="W67" s="6"/>
      <c r="X67" s="6"/>
      <c r="Y67" s="6"/>
      <c r="Z67" s="6"/>
      <c r="AA67" s="6"/>
      <c r="AB67" s="7" t="s">
        <v>307</v>
      </c>
      <c r="AC67" s="7" t="s">
        <v>308</v>
      </c>
      <c r="AD67" s="7"/>
      <c r="AE67" s="7"/>
    </row>
    <row r="68" ht="13.5" customHeight="1">
      <c r="A68" s="6">
        <f t="shared" si="21"/>
        <v>66</v>
      </c>
      <c r="B68" s="6">
        <f t="shared" si="23"/>
        <v>52</v>
      </c>
      <c r="C68" s="6" t="s">
        <v>309</v>
      </c>
      <c r="D68" s="6" t="s">
        <v>310</v>
      </c>
      <c r="E68" s="6" t="s">
        <v>311</v>
      </c>
      <c r="F68" s="6" t="s">
        <v>117</v>
      </c>
      <c r="G68" s="6">
        <v>4.0</v>
      </c>
      <c r="H68" s="6" t="s">
        <v>48</v>
      </c>
      <c r="I68" s="6">
        <v>3.42</v>
      </c>
      <c r="J68" s="6">
        <v>0.275</v>
      </c>
      <c r="K68" s="6">
        <v>24.54</v>
      </c>
      <c r="L68" s="6">
        <v>48.74</v>
      </c>
      <c r="M68" s="6">
        <v>4.14</v>
      </c>
      <c r="N68" s="6">
        <v>20.56</v>
      </c>
      <c r="O68" s="6">
        <v>1.298</v>
      </c>
      <c r="P68" s="6"/>
      <c r="Q68" s="6"/>
      <c r="R68" s="6"/>
      <c r="S68" s="6"/>
      <c r="T68" s="6"/>
      <c r="U68" s="6"/>
      <c r="V68" s="6"/>
      <c r="W68" s="6"/>
      <c r="X68" s="6"/>
      <c r="Y68" s="6">
        <v>0.73</v>
      </c>
      <c r="Z68" s="6">
        <v>0.73</v>
      </c>
      <c r="AA68" s="6" t="s">
        <v>312</v>
      </c>
      <c r="AB68" s="7" t="s">
        <v>313</v>
      </c>
      <c r="AC68" s="7"/>
      <c r="AD68" s="7"/>
      <c r="AE68" s="7"/>
    </row>
    <row r="69" ht="13.5" customHeight="1">
      <c r="A69" s="6">
        <f t="shared" si="21"/>
        <v>67</v>
      </c>
      <c r="B69" s="6">
        <f t="shared" si="23"/>
        <v>53</v>
      </c>
      <c r="D69" s="6" t="s">
        <v>314</v>
      </c>
      <c r="E69" s="6" t="s">
        <v>315</v>
      </c>
      <c r="F69" s="6" t="s">
        <v>117</v>
      </c>
      <c r="G69" s="6">
        <v>4.0</v>
      </c>
      <c r="H69" s="6" t="s">
        <v>48</v>
      </c>
      <c r="I69" s="6"/>
      <c r="J69" s="6"/>
      <c r="K69" s="6">
        <v>15.7</v>
      </c>
      <c r="L69" s="6">
        <v>30.6</v>
      </c>
      <c r="M69" s="6">
        <v>2.9</v>
      </c>
      <c r="N69" s="6">
        <v>10.5</v>
      </c>
      <c r="O69" s="6"/>
      <c r="P69" s="6"/>
      <c r="Q69" s="6"/>
      <c r="R69" s="6"/>
      <c r="S69" s="6"/>
      <c r="T69" s="6"/>
      <c r="U69" s="6"/>
      <c r="V69" s="6"/>
      <c r="W69" s="6"/>
      <c r="X69" s="6"/>
      <c r="Y69" s="6">
        <v>0.04</v>
      </c>
      <c r="Z69" s="6">
        <v>0.04</v>
      </c>
      <c r="AA69" s="6" t="s">
        <v>49</v>
      </c>
      <c r="AB69" s="7" t="s">
        <v>316</v>
      </c>
      <c r="AC69" s="7"/>
      <c r="AD69" s="7"/>
      <c r="AE69" s="7"/>
    </row>
    <row r="70" ht="13.5" customHeight="1">
      <c r="A70" s="6">
        <f t="shared" si="21"/>
        <v>68</v>
      </c>
      <c r="B70" s="6">
        <f t="shared" si="23"/>
        <v>54</v>
      </c>
      <c r="D70" s="6" t="s">
        <v>317</v>
      </c>
      <c r="E70" s="6" t="s">
        <v>318</v>
      </c>
      <c r="F70" s="6" t="s">
        <v>117</v>
      </c>
      <c r="G70" s="6">
        <v>4.0</v>
      </c>
      <c r="H70" s="6" t="s">
        <v>48</v>
      </c>
      <c r="I70" s="6"/>
      <c r="J70" s="6"/>
      <c r="K70" s="6"/>
      <c r="L70" s="6"/>
      <c r="M70" s="6"/>
      <c r="N70" s="6"/>
      <c r="O70" s="6"/>
      <c r="P70" s="6"/>
      <c r="Q70" s="6"/>
      <c r="R70" s="6"/>
      <c r="S70" s="6"/>
      <c r="T70" s="6"/>
      <c r="U70" s="6"/>
      <c r="V70" s="6"/>
      <c r="W70" s="6"/>
      <c r="X70" s="6"/>
      <c r="Y70" s="6"/>
      <c r="Z70" s="6"/>
      <c r="AA70" s="6"/>
      <c r="AB70" s="7" t="s">
        <v>319</v>
      </c>
      <c r="AC70" s="7"/>
      <c r="AD70" s="7"/>
      <c r="AE70" s="7"/>
    </row>
    <row r="71" ht="13.5" customHeight="1">
      <c r="A71" s="6">
        <f t="shared" si="21"/>
        <v>69</v>
      </c>
      <c r="B71" s="6">
        <f t="shared" si="23"/>
        <v>55</v>
      </c>
      <c r="C71" s="6" t="s">
        <v>320</v>
      </c>
      <c r="D71" s="6" t="s">
        <v>321</v>
      </c>
      <c r="E71" s="6" t="s">
        <v>322</v>
      </c>
      <c r="F71" s="6" t="s">
        <v>117</v>
      </c>
      <c r="G71" s="6">
        <v>1.0</v>
      </c>
      <c r="H71" s="6" t="s">
        <v>35</v>
      </c>
      <c r="I71" s="6">
        <v>20.76</v>
      </c>
      <c r="J71" s="6">
        <v>1.73</v>
      </c>
      <c r="K71" s="6">
        <v>29.07</v>
      </c>
      <c r="L71" s="6">
        <v>54.38</v>
      </c>
      <c r="M71" s="6">
        <v>3.68</v>
      </c>
      <c r="N71" s="6">
        <v>9.1</v>
      </c>
      <c r="O71" s="6">
        <v>0.84</v>
      </c>
      <c r="P71" s="6">
        <v>0.18</v>
      </c>
      <c r="Q71" s="6">
        <v>0.67</v>
      </c>
      <c r="R71" s="6">
        <v>0.06</v>
      </c>
      <c r="S71" s="6">
        <v>0.24</v>
      </c>
      <c r="T71" s="6">
        <v>0.04</v>
      </c>
      <c r="U71" s="6">
        <v>0.13</v>
      </c>
      <c r="V71" s="6">
        <v>0.01</v>
      </c>
      <c r="W71" s="6">
        <v>0.07</v>
      </c>
      <c r="X71" s="6">
        <v>0.01</v>
      </c>
      <c r="Y71" s="6">
        <v>1.51</v>
      </c>
      <c r="Z71" s="6">
        <v>2.74</v>
      </c>
      <c r="AA71" s="6" t="s">
        <v>323</v>
      </c>
      <c r="AB71" s="7" t="s">
        <v>324</v>
      </c>
      <c r="AC71" s="7" t="s">
        <v>324</v>
      </c>
      <c r="AD71" s="7" t="s">
        <v>324</v>
      </c>
      <c r="AE71" s="7"/>
    </row>
    <row r="72" ht="13.5" customHeight="1">
      <c r="A72" s="6">
        <f t="shared" si="21"/>
        <v>70</v>
      </c>
      <c r="B72" s="6">
        <f t="shared" si="23"/>
        <v>56</v>
      </c>
      <c r="C72" s="6" t="s">
        <v>325</v>
      </c>
      <c r="D72" s="6" t="s">
        <v>326</v>
      </c>
      <c r="E72" s="6" t="s">
        <v>327</v>
      </c>
      <c r="F72" s="6" t="s">
        <v>73</v>
      </c>
      <c r="G72" s="6">
        <v>2.0</v>
      </c>
      <c r="H72" s="6" t="s">
        <v>35</v>
      </c>
      <c r="I72" s="6">
        <v>36.62</v>
      </c>
      <c r="J72" s="6">
        <v>1.33</v>
      </c>
      <c r="K72" s="6">
        <v>24.644549763033176</v>
      </c>
      <c r="L72" s="6">
        <v>44.61746784021666</v>
      </c>
      <c r="M72" s="6">
        <v>4.807041299932295</v>
      </c>
      <c r="N72" s="6">
        <v>16.384563303994586</v>
      </c>
      <c r="O72" s="6">
        <v>2.369668246445498</v>
      </c>
      <c r="P72" s="6">
        <v>0.5416384563303995</v>
      </c>
      <c r="Q72" s="6">
        <v>1.3540961408259988</v>
      </c>
      <c r="R72" s="6">
        <v>0.13540961408259988</v>
      </c>
      <c r="S72" s="6">
        <v>0.8124576844955992</v>
      </c>
      <c r="T72" s="6">
        <v>0.13540961408259988</v>
      </c>
      <c r="U72" s="6">
        <v>0.27081922816519977</v>
      </c>
      <c r="V72" s="6">
        <v>0.06770480704129994</v>
      </c>
      <c r="W72" s="6">
        <v>0.2031144211238998</v>
      </c>
      <c r="X72" s="6">
        <v>0.0</v>
      </c>
      <c r="Y72" s="6">
        <v>3.6560595802301967</v>
      </c>
      <c r="Z72" s="6">
        <v>6.6350710900473935</v>
      </c>
      <c r="AA72" s="6" t="s">
        <v>59</v>
      </c>
      <c r="AB72" s="7"/>
      <c r="AC72" s="7" t="s">
        <v>328</v>
      </c>
      <c r="AD72" s="7" t="s">
        <v>328</v>
      </c>
      <c r="AE72" s="7"/>
    </row>
    <row r="73" ht="13.5" customHeight="1">
      <c r="A73" s="6">
        <f t="shared" si="21"/>
        <v>71</v>
      </c>
      <c r="B73" s="6">
        <f t="shared" si="23"/>
        <v>57</v>
      </c>
      <c r="D73" s="6" t="s">
        <v>329</v>
      </c>
      <c r="E73" s="6" t="s">
        <v>327</v>
      </c>
      <c r="F73" s="6" t="s">
        <v>73</v>
      </c>
      <c r="G73" s="6">
        <v>1.0</v>
      </c>
      <c r="H73" s="6" t="s">
        <v>35</v>
      </c>
      <c r="I73" s="6"/>
      <c r="J73" s="6"/>
      <c r="K73" s="6">
        <v>27.56618336579384</v>
      </c>
      <c r="L73" s="6">
        <v>50.97742191444853</v>
      </c>
      <c r="M73" s="6">
        <v>4.483156603909688</v>
      </c>
      <c r="N73" s="6">
        <v>11.628074731299142</v>
      </c>
      <c r="O73" s="6">
        <v>0.8656135035706556</v>
      </c>
      <c r="P73" s="6">
        <v>0.2055832070980307</v>
      </c>
      <c r="Q73" s="6">
        <v>0.4328067517853278</v>
      </c>
      <c r="R73" s="6">
        <v>0.061314289836254775</v>
      </c>
      <c r="S73" s="6">
        <v>0.3678857390175287</v>
      </c>
      <c r="T73" s="6">
        <v>0.07934790449397677</v>
      </c>
      <c r="U73" s="6">
        <v>0.24886388227656353</v>
      </c>
      <c r="V73" s="6">
        <v>0.039673952246988387</v>
      </c>
      <c r="W73" s="6">
        <v>0.2596840510711967</v>
      </c>
      <c r="X73" s="6">
        <v>0.03606722931544399</v>
      </c>
      <c r="Y73" s="6">
        <v>2.748322873836832</v>
      </c>
      <c r="Z73" s="6">
        <v>4.273966673880112</v>
      </c>
      <c r="AA73" s="10" t="s">
        <v>330</v>
      </c>
      <c r="AB73" s="7" t="s">
        <v>330</v>
      </c>
      <c r="AC73" s="7"/>
      <c r="AD73" s="7"/>
      <c r="AE73" s="7"/>
    </row>
    <row r="74" ht="42.75" customHeight="1">
      <c r="A74" s="6">
        <f t="shared" si="21"/>
        <v>72</v>
      </c>
      <c r="B74" s="6">
        <f t="shared" si="23"/>
        <v>58</v>
      </c>
      <c r="C74" s="6" t="s">
        <v>331</v>
      </c>
      <c r="D74" s="6" t="s">
        <v>332</v>
      </c>
      <c r="E74" s="6" t="s">
        <v>333</v>
      </c>
      <c r="F74" s="6" t="s">
        <v>98</v>
      </c>
      <c r="G74" s="6">
        <v>1.0</v>
      </c>
      <c r="H74" s="6" t="s">
        <v>48</v>
      </c>
      <c r="I74" s="6">
        <v>4.6</v>
      </c>
      <c r="J74" s="6"/>
      <c r="K74" s="6"/>
      <c r="L74" s="6"/>
      <c r="M74" s="6"/>
      <c r="N74" s="6"/>
      <c r="O74" s="6"/>
      <c r="P74" s="6"/>
      <c r="Q74" s="6"/>
      <c r="R74" s="6"/>
      <c r="S74" s="6"/>
      <c r="T74" s="6"/>
      <c r="U74" s="6"/>
      <c r="V74" s="6"/>
      <c r="W74" s="6"/>
      <c r="X74" s="6"/>
      <c r="Y74" s="6"/>
      <c r="Z74" s="6"/>
      <c r="AA74" s="6"/>
      <c r="AB74" s="7" t="s">
        <v>334</v>
      </c>
      <c r="AC74" s="7" t="s">
        <v>334</v>
      </c>
      <c r="AD74" s="7" t="s">
        <v>335</v>
      </c>
      <c r="AE74" s="7"/>
    </row>
    <row r="75" ht="13.5" customHeight="1">
      <c r="A75" s="6">
        <f t="shared" si="21"/>
        <v>73</v>
      </c>
      <c r="B75" s="6">
        <f t="shared" si="23"/>
        <v>59</v>
      </c>
      <c r="C75" s="6" t="s">
        <v>336</v>
      </c>
      <c r="D75" s="6" t="s">
        <v>337</v>
      </c>
      <c r="E75" s="6" t="s">
        <v>338</v>
      </c>
      <c r="F75" s="6" t="s">
        <v>73</v>
      </c>
      <c r="G75" s="6">
        <v>3.0</v>
      </c>
      <c r="H75" s="6" t="s">
        <v>339</v>
      </c>
      <c r="I75" s="6">
        <v>8.69</v>
      </c>
      <c r="J75" s="6">
        <v>14.4</v>
      </c>
      <c r="K75" s="6">
        <v>20.764285714285712</v>
      </c>
      <c r="L75" s="6">
        <v>45.28571428571428</v>
      </c>
      <c r="M75" s="6">
        <v>5.12142857142857</v>
      </c>
      <c r="N75" s="6">
        <v>17.978571428571424</v>
      </c>
      <c r="O75" s="6">
        <v>2.8714285714285714</v>
      </c>
      <c r="P75" s="6">
        <v>0.06428571428571427</v>
      </c>
      <c r="Q75" s="6">
        <v>1.9571428571428569</v>
      </c>
      <c r="R75" s="6">
        <v>0.21428571428571425</v>
      </c>
      <c r="S75" s="6">
        <v>1.0</v>
      </c>
      <c r="T75" s="6">
        <v>0.14285714285714285</v>
      </c>
      <c r="U75" s="6">
        <v>0.2928571428571428</v>
      </c>
      <c r="V75" s="6">
        <v>0.028571428571428567</v>
      </c>
      <c r="W75" s="6">
        <v>0.12857142857142853</v>
      </c>
      <c r="X75" s="6">
        <v>0.014285714285714284</v>
      </c>
      <c r="Y75" s="6">
        <v>4.135714285714285</v>
      </c>
      <c r="Z75" s="6">
        <v>7.914285714285713</v>
      </c>
      <c r="AA75" s="6" t="s">
        <v>59</v>
      </c>
      <c r="AB75" s="7" t="s">
        <v>340</v>
      </c>
      <c r="AC75" s="7" t="s">
        <v>340</v>
      </c>
      <c r="AD75" s="7" t="s">
        <v>341</v>
      </c>
      <c r="AE75" s="7"/>
    </row>
    <row r="76" ht="13.5" customHeight="1">
      <c r="A76" s="6">
        <f t="shared" si="21"/>
        <v>74</v>
      </c>
      <c r="B76" s="6">
        <f t="shared" si="23"/>
        <v>60</v>
      </c>
      <c r="C76" s="6" t="s">
        <v>342</v>
      </c>
      <c r="D76" s="6" t="s">
        <v>343</v>
      </c>
      <c r="E76" s="6" t="s">
        <v>344</v>
      </c>
      <c r="F76" s="6" t="s">
        <v>42</v>
      </c>
      <c r="G76" s="6">
        <v>1.0</v>
      </c>
      <c r="H76" s="6" t="s">
        <v>345</v>
      </c>
      <c r="I76" s="6">
        <v>7.08</v>
      </c>
      <c r="J76" s="6">
        <v>1.22</v>
      </c>
      <c r="K76" s="6"/>
      <c r="L76" s="6"/>
      <c r="M76" s="6"/>
      <c r="N76" s="6"/>
      <c r="O76" s="6"/>
      <c r="P76" s="6"/>
      <c r="Q76" s="6"/>
      <c r="R76" s="6"/>
      <c r="S76" s="6"/>
      <c r="T76" s="6"/>
      <c r="U76" s="6"/>
      <c r="V76" s="6"/>
      <c r="W76" s="6"/>
      <c r="X76" s="6"/>
      <c r="Y76" s="6"/>
      <c r="Z76" s="6"/>
      <c r="AA76" s="6"/>
      <c r="AB76" s="7" t="s">
        <v>346</v>
      </c>
      <c r="AC76" s="7"/>
      <c r="AD76" s="7" t="s">
        <v>347</v>
      </c>
      <c r="AE76" s="7"/>
    </row>
    <row r="77" ht="13.5" customHeight="1">
      <c r="A77" s="6">
        <f t="shared" si="21"/>
        <v>75</v>
      </c>
      <c r="B77" s="6">
        <f t="shared" si="23"/>
        <v>61</v>
      </c>
      <c r="D77" s="6" t="s">
        <v>348</v>
      </c>
      <c r="E77" s="6" t="s">
        <v>349</v>
      </c>
      <c r="F77" s="6" t="s">
        <v>42</v>
      </c>
      <c r="G77" s="6">
        <v>1.0</v>
      </c>
      <c r="H77" s="6" t="s">
        <v>35</v>
      </c>
      <c r="I77" s="6"/>
      <c r="J77" s="6"/>
      <c r="K77" s="6"/>
      <c r="L77" s="6"/>
      <c r="M77" s="6"/>
      <c r="N77" s="6"/>
      <c r="O77" s="6"/>
      <c r="P77" s="6"/>
      <c r="Q77" s="6"/>
      <c r="R77" s="6"/>
      <c r="S77" s="6"/>
      <c r="T77" s="6"/>
      <c r="U77" s="6"/>
      <c r="V77" s="6"/>
      <c r="W77" s="6"/>
      <c r="X77" s="6"/>
      <c r="Y77" s="6"/>
      <c r="Z77" s="6"/>
      <c r="AA77" s="6"/>
      <c r="AB77" s="7" t="s">
        <v>350</v>
      </c>
      <c r="AC77" s="7" t="s">
        <v>351</v>
      </c>
      <c r="AD77" s="7"/>
      <c r="AE77" s="7"/>
    </row>
    <row r="78" ht="13.5" customHeight="1">
      <c r="A78" s="6">
        <f t="shared" si="21"/>
        <v>76</v>
      </c>
      <c r="B78" s="6">
        <f t="shared" si="23"/>
        <v>62</v>
      </c>
      <c r="C78" s="6" t="s">
        <v>352</v>
      </c>
      <c r="D78" s="6" t="s">
        <v>353</v>
      </c>
      <c r="E78" s="6" t="s">
        <v>354</v>
      </c>
      <c r="F78" s="6" t="s">
        <v>42</v>
      </c>
      <c r="G78" s="6">
        <v>1.0</v>
      </c>
      <c r="H78" s="6" t="s">
        <v>35</v>
      </c>
      <c r="I78" s="6">
        <v>104.0</v>
      </c>
      <c r="J78" s="6">
        <v>0.3504</v>
      </c>
      <c r="K78" s="6">
        <v>23.05398150909633</v>
      </c>
      <c r="L78" s="6">
        <v>39.815090963316436</v>
      </c>
      <c r="M78" s="6">
        <v>4.2648374589919475</v>
      </c>
      <c r="N78" s="6">
        <v>15.627796003578887</v>
      </c>
      <c r="O78" s="6">
        <v>3.8473009245451837</v>
      </c>
      <c r="P78" s="6">
        <v>1.3719057560393677</v>
      </c>
      <c r="Q78" s="6">
        <v>3.280644199224575</v>
      </c>
      <c r="R78" s="6">
        <v>0.35788845809722636</v>
      </c>
      <c r="S78" s="6">
        <v>1.4315538323889054</v>
      </c>
      <c r="T78" s="6">
        <v>0.20876826722338207</v>
      </c>
      <c r="U78" s="6">
        <v>0.44736057262153295</v>
      </c>
      <c r="V78" s="6">
        <v>0.05964807634953773</v>
      </c>
      <c r="W78" s="6">
        <v>0.2982403817476887</v>
      </c>
      <c r="X78" s="6">
        <v>0.029824038174768867</v>
      </c>
      <c r="Y78" s="6">
        <v>5.934983596779005</v>
      </c>
      <c r="Z78" s="6">
        <v>12.048911422606622</v>
      </c>
      <c r="AA78" s="10" t="s">
        <v>355</v>
      </c>
      <c r="AB78" s="7" t="s">
        <v>356</v>
      </c>
      <c r="AC78" s="7"/>
      <c r="AD78" s="7" t="s">
        <v>355</v>
      </c>
      <c r="AE78" s="7"/>
    </row>
    <row r="79" ht="13.5" customHeight="1">
      <c r="A79" s="6">
        <f t="shared" si="21"/>
        <v>77</v>
      </c>
      <c r="B79" s="6">
        <f t="shared" si="23"/>
        <v>63</v>
      </c>
      <c r="C79" s="6" t="s">
        <v>357</v>
      </c>
      <c r="D79" s="6" t="s">
        <v>358</v>
      </c>
      <c r="E79" s="6" t="s">
        <v>359</v>
      </c>
      <c r="F79" s="6" t="s">
        <v>42</v>
      </c>
      <c r="G79" s="6" t="s">
        <v>132</v>
      </c>
      <c r="H79" s="6" t="s">
        <v>105</v>
      </c>
      <c r="I79" s="6">
        <v>7.2</v>
      </c>
      <c r="J79" s="6">
        <v>12.0</v>
      </c>
      <c r="K79" s="6">
        <v>25.38</v>
      </c>
      <c r="L79" s="6">
        <v>44.86</v>
      </c>
      <c r="M79" s="6">
        <v>3.98</v>
      </c>
      <c r="N79" s="6">
        <v>13.16</v>
      </c>
      <c r="O79" s="6">
        <v>2.73</v>
      </c>
      <c r="P79" s="6">
        <v>0.22</v>
      </c>
      <c r="Q79" s="6">
        <v>1.12</v>
      </c>
      <c r="R79" s="6">
        <v>0.0</v>
      </c>
      <c r="S79" s="6">
        <v>1.25</v>
      </c>
      <c r="T79" s="6">
        <v>0.19</v>
      </c>
      <c r="U79" s="6">
        <v>0.6</v>
      </c>
      <c r="V79" s="6">
        <v>0.0</v>
      </c>
      <c r="W79" s="6">
        <v>0.92</v>
      </c>
      <c r="X79" s="6">
        <v>0.12</v>
      </c>
      <c r="Y79" s="6">
        <v>5.48</v>
      </c>
      <c r="Z79" s="6">
        <v>9.68</v>
      </c>
      <c r="AA79" s="6" t="s">
        <v>360</v>
      </c>
      <c r="AB79" s="7"/>
      <c r="AC79" s="7" t="s">
        <v>361</v>
      </c>
      <c r="AD79" s="7" t="s">
        <v>362</v>
      </c>
      <c r="AE79" s="7"/>
    </row>
    <row r="80" ht="13.5" customHeight="1">
      <c r="A80" s="6">
        <f t="shared" si="21"/>
        <v>78</v>
      </c>
      <c r="B80" s="6">
        <f t="shared" si="23"/>
        <v>64</v>
      </c>
      <c r="C80" s="6" t="s">
        <v>363</v>
      </c>
      <c r="D80" s="6" t="s">
        <v>364</v>
      </c>
      <c r="E80" s="6" t="s">
        <v>365</v>
      </c>
      <c r="F80" s="6" t="s">
        <v>42</v>
      </c>
      <c r="G80" s="6">
        <v>1.0</v>
      </c>
      <c r="H80" s="6" t="s">
        <v>58</v>
      </c>
      <c r="I80" s="6">
        <v>48.38</v>
      </c>
      <c r="J80" s="6">
        <v>1.18</v>
      </c>
      <c r="K80" s="6">
        <v>24.36548223350254</v>
      </c>
      <c r="L80" s="6">
        <v>46.023688663282584</v>
      </c>
      <c r="M80" s="6">
        <v>4.737732656514384</v>
      </c>
      <c r="N80" s="6">
        <v>15.905245346869718</v>
      </c>
      <c r="O80" s="6">
        <v>2.7072758037225046</v>
      </c>
      <c r="P80" s="6">
        <v>0.25380710659898487</v>
      </c>
      <c r="Q80" s="6">
        <v>1.6074450084602372</v>
      </c>
      <c r="R80" s="6">
        <v>0.16920473773265654</v>
      </c>
      <c r="S80" s="6">
        <v>0.6768189509306262</v>
      </c>
      <c r="T80" s="6">
        <v>0.08460236886632827</v>
      </c>
      <c r="U80" s="6">
        <v>0.16920473773265654</v>
      </c>
      <c r="V80" s="6">
        <v>0.0</v>
      </c>
      <c r="W80" s="6">
        <v>0.08460236886632827</v>
      </c>
      <c r="X80" s="6">
        <v>0.0</v>
      </c>
      <c r="Y80" s="6">
        <v>3.2148900169204744</v>
      </c>
      <c r="Z80" s="6">
        <v>6.006768189509307</v>
      </c>
      <c r="AA80" s="6" t="s">
        <v>59</v>
      </c>
      <c r="AB80" s="7" t="s">
        <v>366</v>
      </c>
      <c r="AC80" s="7" t="s">
        <v>367</v>
      </c>
      <c r="AD80" s="7"/>
      <c r="AE80" s="7"/>
    </row>
    <row r="81" ht="13.5" customHeight="1">
      <c r="A81" s="6">
        <f t="shared" si="21"/>
        <v>79</v>
      </c>
      <c r="B81" s="6">
        <f t="shared" si="23"/>
        <v>65</v>
      </c>
      <c r="D81" s="6" t="s">
        <v>368</v>
      </c>
      <c r="E81" s="6" t="s">
        <v>369</v>
      </c>
      <c r="F81" s="6" t="s">
        <v>87</v>
      </c>
      <c r="G81" s="6"/>
      <c r="H81" s="6" t="s">
        <v>370</v>
      </c>
      <c r="I81" s="6"/>
      <c r="J81" s="6"/>
      <c r="K81" s="6"/>
      <c r="L81" s="6"/>
      <c r="M81" s="6"/>
      <c r="N81" s="6"/>
      <c r="O81" s="6"/>
      <c r="P81" s="6"/>
      <c r="Q81" s="6"/>
      <c r="R81" s="6"/>
      <c r="S81" s="6"/>
      <c r="T81" s="6"/>
      <c r="U81" s="6"/>
      <c r="V81" s="6"/>
      <c r="W81" s="6"/>
      <c r="X81" s="6"/>
      <c r="Y81" s="6"/>
      <c r="Z81" s="6"/>
      <c r="AA81" s="6"/>
      <c r="AB81" s="7"/>
      <c r="AC81" s="7"/>
      <c r="AD81" s="7"/>
      <c r="AE81" s="7"/>
    </row>
    <row r="82" ht="13.5" customHeight="1">
      <c r="A82" s="6">
        <f t="shared" si="21"/>
        <v>80</v>
      </c>
      <c r="B82" s="6">
        <f t="shared" si="23"/>
        <v>66</v>
      </c>
      <c r="C82" s="6" t="s">
        <v>371</v>
      </c>
      <c r="D82" s="6" t="s">
        <v>372</v>
      </c>
      <c r="E82" s="6" t="s">
        <v>373</v>
      </c>
      <c r="F82" s="6" t="s">
        <v>34</v>
      </c>
      <c r="G82" s="6" t="s">
        <v>374</v>
      </c>
      <c r="H82" s="6" t="s">
        <v>375</v>
      </c>
      <c r="I82" s="6">
        <v>11.5</v>
      </c>
      <c r="J82" s="6">
        <v>0.06</v>
      </c>
      <c r="K82" s="6">
        <v>24.59016393442623</v>
      </c>
      <c r="L82" s="6">
        <v>42.62295081967213</v>
      </c>
      <c r="M82" s="6">
        <v>3.278688524590164</v>
      </c>
      <c r="N82" s="6">
        <v>13.114754098360656</v>
      </c>
      <c r="O82" s="6">
        <v>1.639344262295082</v>
      </c>
      <c r="P82" s="6">
        <v>0.0</v>
      </c>
      <c r="Q82" s="6">
        <v>1.639344262295082</v>
      </c>
      <c r="R82" s="6">
        <v>0.0</v>
      </c>
      <c r="S82" s="6">
        <v>1.639344262295082</v>
      </c>
      <c r="T82" s="6">
        <v>0.0</v>
      </c>
      <c r="U82" s="6">
        <v>1.639344262295082</v>
      </c>
      <c r="V82" s="6">
        <v>0.0</v>
      </c>
      <c r="W82" s="6">
        <v>1.639344262295082</v>
      </c>
      <c r="X82" s="6">
        <v>0.0</v>
      </c>
      <c r="Y82" s="6">
        <v>8.196721311475411</v>
      </c>
      <c r="Z82" s="6">
        <v>14.7540983606557</v>
      </c>
      <c r="AA82" s="6" t="s">
        <v>59</v>
      </c>
      <c r="AB82" s="7" t="s">
        <v>376</v>
      </c>
      <c r="AC82" s="7"/>
      <c r="AD82" s="7" t="s">
        <v>377</v>
      </c>
      <c r="AE82" s="7"/>
    </row>
    <row r="83" ht="13.5" customHeight="1">
      <c r="A83" s="6">
        <f t="shared" si="21"/>
        <v>81</v>
      </c>
      <c r="B83" s="6">
        <f t="shared" si="23"/>
        <v>67</v>
      </c>
      <c r="C83" s="6" t="s">
        <v>378</v>
      </c>
      <c r="D83" s="6" t="s">
        <v>379</v>
      </c>
      <c r="E83" s="6" t="s">
        <v>380</v>
      </c>
      <c r="F83" s="6" t="s">
        <v>42</v>
      </c>
      <c r="G83" s="6">
        <v>2.0</v>
      </c>
      <c r="H83" s="6" t="s">
        <v>35</v>
      </c>
      <c r="I83" s="6">
        <v>468.686</v>
      </c>
      <c r="J83" s="6">
        <v>1.88</v>
      </c>
      <c r="K83" s="6">
        <v>25.99469496021221</v>
      </c>
      <c r="L83" s="6">
        <v>46.525198938992055</v>
      </c>
      <c r="M83" s="6">
        <v>4.827586206896553</v>
      </c>
      <c r="N83" s="6">
        <v>16.604774535809025</v>
      </c>
      <c r="O83" s="6">
        <v>2.06896551724138</v>
      </c>
      <c r="P83" s="6">
        <v>0.4774535809018569</v>
      </c>
      <c r="Q83" s="6">
        <v>1.1140583554376662</v>
      </c>
      <c r="R83" s="6">
        <v>0.1061007957559682</v>
      </c>
      <c r="S83" s="6">
        <v>0.4244031830238728</v>
      </c>
      <c r="T83" s="6">
        <v>0.0530503978779841</v>
      </c>
      <c r="U83" s="6">
        <v>0.1061007957559682</v>
      </c>
      <c r="V83" s="6">
        <v>0.0</v>
      </c>
      <c r="W83" s="6">
        <v>0.0530503978779841</v>
      </c>
      <c r="X83" s="6">
        <v>0.0</v>
      </c>
      <c r="Y83" s="6">
        <v>1.6445623342175073</v>
      </c>
      <c r="Z83" s="6">
        <v>3.501326259946951</v>
      </c>
      <c r="AA83" s="6" t="s">
        <v>59</v>
      </c>
      <c r="AB83" s="7" t="s">
        <v>381</v>
      </c>
      <c r="AC83" s="7"/>
      <c r="AD83" s="7" t="s">
        <v>382</v>
      </c>
      <c r="AE83" s="7"/>
    </row>
    <row r="84" ht="13.5" customHeight="1">
      <c r="A84" s="6">
        <f t="shared" si="21"/>
        <v>82</v>
      </c>
      <c r="B84" s="6">
        <f t="shared" si="23"/>
        <v>68</v>
      </c>
      <c r="C84" s="6" t="s">
        <v>383</v>
      </c>
      <c r="D84" s="6" t="s">
        <v>384</v>
      </c>
      <c r="E84" s="6" t="s">
        <v>385</v>
      </c>
      <c r="F84" s="6" t="s">
        <v>117</v>
      </c>
      <c r="G84" s="6">
        <v>3.0</v>
      </c>
      <c r="H84" s="6" t="s">
        <v>35</v>
      </c>
      <c r="I84" s="6">
        <v>317.0</v>
      </c>
      <c r="J84" s="6">
        <v>10.0</v>
      </c>
      <c r="K84" s="6">
        <v>34.62</v>
      </c>
      <c r="L84" s="6">
        <v>46.88</v>
      </c>
      <c r="M84" s="6">
        <v>4.14</v>
      </c>
      <c r="N84" s="6">
        <v>11.55</v>
      </c>
      <c r="O84" s="6">
        <v>1.24</v>
      </c>
      <c r="P84" s="6">
        <v>0.62</v>
      </c>
      <c r="Q84" s="6">
        <v>0.57</v>
      </c>
      <c r="R84" s="6">
        <v>0.07</v>
      </c>
      <c r="S84" s="6">
        <v>0.18</v>
      </c>
      <c r="T84" s="6">
        <v>0.03</v>
      </c>
      <c r="U84" s="6">
        <v>0.06</v>
      </c>
      <c r="V84" s="6">
        <v>0.01</v>
      </c>
      <c r="W84" s="6">
        <v>0.03</v>
      </c>
      <c r="X84" s="6">
        <v>0.004</v>
      </c>
      <c r="Y84" s="6">
        <v>0.0</v>
      </c>
      <c r="Z84" s="6">
        <v>0.954</v>
      </c>
      <c r="AA84" s="6" t="s">
        <v>386</v>
      </c>
      <c r="AB84" s="7" t="s">
        <v>387</v>
      </c>
      <c r="AC84" s="7"/>
      <c r="AD84" s="7" t="s">
        <v>387</v>
      </c>
      <c r="AE84" s="7"/>
    </row>
    <row r="85" ht="13.5" customHeight="1">
      <c r="A85" s="6">
        <f t="shared" si="21"/>
        <v>83</v>
      </c>
      <c r="B85" s="6">
        <f t="shared" si="23"/>
        <v>69</v>
      </c>
      <c r="C85" s="6" t="s">
        <v>388</v>
      </c>
      <c r="D85" s="6" t="s">
        <v>389</v>
      </c>
      <c r="E85" s="6" t="s">
        <v>385</v>
      </c>
      <c r="F85" s="6" t="s">
        <v>117</v>
      </c>
      <c r="G85" s="6">
        <v>1.0</v>
      </c>
      <c r="H85" s="6" t="s">
        <v>35</v>
      </c>
      <c r="I85" s="6">
        <v>770.0</v>
      </c>
      <c r="J85" s="6"/>
      <c r="K85" s="6">
        <v>28.77</v>
      </c>
      <c r="L85" s="6">
        <v>48.96</v>
      </c>
      <c r="M85" s="6">
        <v>4.74</v>
      </c>
      <c r="N85" s="6">
        <v>14.4</v>
      </c>
      <c r="O85" s="6">
        <v>1.45</v>
      </c>
      <c r="P85" s="6">
        <v>0.29</v>
      </c>
      <c r="Q85" s="6">
        <v>0.55</v>
      </c>
      <c r="R85" s="6">
        <v>0.05</v>
      </c>
      <c r="S85" s="6">
        <v>0.16</v>
      </c>
      <c r="T85" s="6">
        <v>0.02</v>
      </c>
      <c r="U85" s="6">
        <v>0.03</v>
      </c>
      <c r="V85" s="6">
        <v>0.003</v>
      </c>
      <c r="W85" s="6">
        <v>0.02</v>
      </c>
      <c r="X85" s="6">
        <v>0.002</v>
      </c>
      <c r="Y85" s="6">
        <v>0.54</v>
      </c>
      <c r="Z85" s="6">
        <v>1.3750000000000002</v>
      </c>
      <c r="AA85" s="6" t="s">
        <v>390</v>
      </c>
      <c r="AB85" s="7" t="s">
        <v>387</v>
      </c>
      <c r="AC85" s="7"/>
      <c r="AD85" s="7" t="s">
        <v>387</v>
      </c>
      <c r="AE85" s="7"/>
    </row>
    <row r="86" ht="13.5" customHeight="1">
      <c r="A86" s="6">
        <f t="shared" si="21"/>
        <v>84</v>
      </c>
      <c r="B86" s="6">
        <f t="shared" si="23"/>
        <v>70</v>
      </c>
      <c r="C86" s="6" t="s">
        <v>391</v>
      </c>
      <c r="D86" s="6" t="s">
        <v>392</v>
      </c>
      <c r="E86" s="6" t="s">
        <v>393</v>
      </c>
      <c r="F86" s="6" t="s">
        <v>117</v>
      </c>
      <c r="G86" s="6" t="s">
        <v>374</v>
      </c>
      <c r="H86" s="6" t="s">
        <v>394</v>
      </c>
      <c r="I86" s="6"/>
      <c r="J86" s="6"/>
      <c r="K86" s="6"/>
      <c r="L86" s="6"/>
      <c r="M86" s="6"/>
      <c r="N86" s="6"/>
      <c r="O86" s="6"/>
      <c r="P86" s="6"/>
      <c r="Q86" s="6"/>
      <c r="R86" s="6"/>
      <c r="S86" s="6"/>
      <c r="T86" s="6"/>
      <c r="U86" s="6"/>
      <c r="V86" s="6"/>
      <c r="W86" s="6"/>
      <c r="X86" s="6"/>
      <c r="Y86" s="6"/>
      <c r="Z86" s="6"/>
      <c r="AA86" s="6"/>
      <c r="AB86" s="7" t="s">
        <v>395</v>
      </c>
      <c r="AC86" s="7" t="s">
        <v>396</v>
      </c>
      <c r="AD86" s="7"/>
      <c r="AE86" s="7"/>
    </row>
    <row r="87" ht="13.5" customHeight="1">
      <c r="A87" s="6">
        <f t="shared" si="21"/>
        <v>85</v>
      </c>
      <c r="B87" s="6">
        <f t="shared" si="23"/>
        <v>71</v>
      </c>
      <c r="C87" s="6" t="s">
        <v>397</v>
      </c>
      <c r="D87" s="6" t="s">
        <v>398</v>
      </c>
      <c r="E87" s="6" t="s">
        <v>399</v>
      </c>
      <c r="F87" s="6" t="s">
        <v>42</v>
      </c>
      <c r="G87" s="6">
        <v>1.0</v>
      </c>
      <c r="H87" s="6" t="s">
        <v>400</v>
      </c>
      <c r="I87" s="6"/>
      <c r="J87" s="6"/>
      <c r="K87" s="6"/>
      <c r="L87" s="6"/>
      <c r="M87" s="6"/>
      <c r="N87" s="6"/>
      <c r="O87" s="6"/>
      <c r="P87" s="6"/>
      <c r="Q87" s="6"/>
      <c r="R87" s="6"/>
      <c r="S87" s="6"/>
      <c r="T87" s="6"/>
      <c r="U87" s="6"/>
      <c r="V87" s="6"/>
      <c r="W87" s="6"/>
      <c r="X87" s="6"/>
      <c r="Y87" s="6"/>
      <c r="Z87" s="6"/>
      <c r="AA87" s="6"/>
      <c r="AB87" s="7" t="s">
        <v>401</v>
      </c>
      <c r="AC87" s="7"/>
      <c r="AD87" s="7"/>
      <c r="AE87" s="7"/>
    </row>
    <row r="88" ht="13.5" customHeight="1">
      <c r="A88" s="6">
        <f t="shared" si="21"/>
        <v>86</v>
      </c>
      <c r="B88" s="6">
        <f t="shared" si="23"/>
        <v>72</v>
      </c>
      <c r="D88" s="6" t="s">
        <v>402</v>
      </c>
      <c r="E88" s="6" t="s">
        <v>403</v>
      </c>
      <c r="F88" s="6" t="s">
        <v>42</v>
      </c>
      <c r="G88" s="6">
        <v>1.0</v>
      </c>
      <c r="H88" s="6" t="s">
        <v>404</v>
      </c>
      <c r="I88" s="6">
        <v>8.2</v>
      </c>
      <c r="J88" s="6">
        <v>0.159</v>
      </c>
      <c r="K88" s="6">
        <v>24.999999999999996</v>
      </c>
      <c r="L88" s="6">
        <v>45.83333333333332</v>
      </c>
      <c r="M88" s="6">
        <v>4.687499999999998</v>
      </c>
      <c r="N88" s="6">
        <v>14.583333333333332</v>
      </c>
      <c r="O88" s="6">
        <v>2.6041666666666665</v>
      </c>
      <c r="P88" s="6">
        <v>0.0</v>
      </c>
      <c r="Q88" s="6">
        <v>1.5624999999999998</v>
      </c>
      <c r="R88" s="6">
        <v>0.0</v>
      </c>
      <c r="S88" s="6">
        <v>1.0416666666666665</v>
      </c>
      <c r="T88" s="6">
        <v>0.0</v>
      </c>
      <c r="U88" s="6">
        <v>0.5208333333333333</v>
      </c>
      <c r="V88" s="6">
        <v>0.0</v>
      </c>
      <c r="W88" s="6">
        <v>0.5208333333333333</v>
      </c>
      <c r="X88" s="6">
        <v>0.0</v>
      </c>
      <c r="Y88" s="6">
        <v>3.645833333333333</v>
      </c>
      <c r="Z88" s="6">
        <v>7.291666666666665</v>
      </c>
      <c r="AA88" s="6" t="s">
        <v>59</v>
      </c>
      <c r="AB88" s="7" t="s">
        <v>405</v>
      </c>
      <c r="AC88" s="7"/>
      <c r="AD88" s="7" t="s">
        <v>405</v>
      </c>
      <c r="AE88" s="7"/>
    </row>
    <row r="89" ht="13.5" customHeight="1">
      <c r="A89" s="6">
        <f t="shared" si="21"/>
        <v>87</v>
      </c>
      <c r="B89" s="6">
        <f t="shared" si="23"/>
        <v>73</v>
      </c>
      <c r="C89" s="6" t="s">
        <v>406</v>
      </c>
      <c r="D89" s="6" t="s">
        <v>407</v>
      </c>
      <c r="E89" s="6" t="s">
        <v>408</v>
      </c>
      <c r="F89" s="6" t="s">
        <v>42</v>
      </c>
      <c r="G89" s="6">
        <v>1.0</v>
      </c>
      <c r="H89" s="6" t="s">
        <v>58</v>
      </c>
      <c r="I89" s="6">
        <v>10.35</v>
      </c>
      <c r="J89" s="6">
        <v>1.107</v>
      </c>
      <c r="K89" s="6">
        <v>18.047337278106504</v>
      </c>
      <c r="L89" s="6">
        <v>38.46153846153845</v>
      </c>
      <c r="M89" s="6">
        <v>4.339250493096645</v>
      </c>
      <c r="N89" s="6">
        <v>15.779092702169622</v>
      </c>
      <c r="O89" s="6">
        <v>2.859960552268244</v>
      </c>
      <c r="P89" s="6">
        <v>0.09861932938856013</v>
      </c>
      <c r="Q89" s="6">
        <v>2.2682445759368832</v>
      </c>
      <c r="R89" s="6">
        <v>0.39447731755424054</v>
      </c>
      <c r="S89" s="6">
        <v>2.0710059171597632</v>
      </c>
      <c r="T89" s="6">
        <v>0.39447731755424054</v>
      </c>
      <c r="U89" s="6">
        <v>1.1834319526627217</v>
      </c>
      <c r="V89" s="6">
        <v>0.19723865877712027</v>
      </c>
      <c r="W89" s="6">
        <v>0.9861932938856014</v>
      </c>
      <c r="X89" s="6">
        <v>0.19723865877712027</v>
      </c>
      <c r="Y89" s="6">
        <v>12.72189349112426</v>
      </c>
      <c r="Z89" s="6">
        <v>20.41420118343195</v>
      </c>
      <c r="AA89" s="6" t="s">
        <v>59</v>
      </c>
      <c r="AB89" s="7" t="s">
        <v>409</v>
      </c>
      <c r="AC89" s="7" t="s">
        <v>410</v>
      </c>
      <c r="AD89" s="7" t="s">
        <v>411</v>
      </c>
      <c r="AE89" s="7"/>
    </row>
    <row r="90" ht="13.5" customHeight="1">
      <c r="A90" s="6">
        <f t="shared" si="21"/>
        <v>88</v>
      </c>
      <c r="B90" s="6">
        <f t="shared" si="23"/>
        <v>74</v>
      </c>
      <c r="D90" s="6" t="s">
        <v>412</v>
      </c>
      <c r="E90" s="6" t="s">
        <v>408</v>
      </c>
      <c r="F90" s="6" t="s">
        <v>42</v>
      </c>
      <c r="G90" s="6">
        <v>1.0</v>
      </c>
      <c r="H90" s="6" t="s">
        <v>58</v>
      </c>
      <c r="I90" s="6"/>
      <c r="J90" s="6"/>
      <c r="K90" s="6"/>
      <c r="L90" s="6"/>
      <c r="M90" s="6"/>
      <c r="N90" s="6"/>
      <c r="O90" s="6"/>
      <c r="P90" s="6"/>
      <c r="Q90" s="6"/>
      <c r="R90" s="6"/>
      <c r="S90" s="6"/>
      <c r="T90" s="6"/>
      <c r="U90" s="6"/>
      <c r="V90" s="6"/>
      <c r="W90" s="6"/>
      <c r="X90" s="6"/>
      <c r="Y90" s="6"/>
      <c r="Z90" s="6"/>
      <c r="AA90" s="6"/>
      <c r="AB90" s="7" t="s">
        <v>409</v>
      </c>
      <c r="AC90" s="7"/>
      <c r="AD90" s="8"/>
      <c r="AE90" s="7"/>
    </row>
    <row r="91" ht="13.5" customHeight="1">
      <c r="A91" s="6">
        <f t="shared" si="21"/>
        <v>89</v>
      </c>
      <c r="B91" s="6">
        <f t="shared" si="23"/>
        <v>75</v>
      </c>
      <c r="D91" s="6" t="s">
        <v>413</v>
      </c>
      <c r="E91" s="6" t="s">
        <v>408</v>
      </c>
      <c r="F91" s="6" t="s">
        <v>42</v>
      </c>
      <c r="G91" s="6">
        <v>1.0</v>
      </c>
      <c r="H91" s="6" t="s">
        <v>414</v>
      </c>
      <c r="I91" s="6"/>
      <c r="J91" s="6"/>
      <c r="K91" s="6"/>
      <c r="L91" s="6"/>
      <c r="M91" s="6"/>
      <c r="N91" s="6"/>
      <c r="O91" s="6"/>
      <c r="P91" s="6"/>
      <c r="Q91" s="6"/>
      <c r="R91" s="6"/>
      <c r="S91" s="6"/>
      <c r="T91" s="6"/>
      <c r="U91" s="6"/>
      <c r="V91" s="6"/>
      <c r="W91" s="6"/>
      <c r="X91" s="6"/>
      <c r="Y91" s="6"/>
      <c r="Z91" s="6"/>
      <c r="AA91" s="6"/>
      <c r="AB91" s="8"/>
      <c r="AC91" s="7"/>
      <c r="AD91" s="8"/>
      <c r="AE91" s="7"/>
    </row>
    <row r="92" ht="15.0" customHeight="1">
      <c r="A92" s="6">
        <f t="shared" si="21"/>
        <v>90</v>
      </c>
      <c r="B92" s="6">
        <f t="shared" si="23"/>
        <v>76</v>
      </c>
      <c r="C92" s="6" t="s">
        <v>415</v>
      </c>
      <c r="D92" s="6" t="s">
        <v>416</v>
      </c>
      <c r="E92" s="6" t="s">
        <v>417</v>
      </c>
      <c r="F92" s="6" t="s">
        <v>117</v>
      </c>
      <c r="G92" s="6" t="s">
        <v>189</v>
      </c>
      <c r="H92" s="6" t="s">
        <v>35</v>
      </c>
      <c r="I92" s="6">
        <v>323.29</v>
      </c>
      <c r="J92" s="6">
        <v>11.99</v>
      </c>
      <c r="K92" s="6">
        <v>23.26</v>
      </c>
      <c r="L92" s="6">
        <v>45.51</v>
      </c>
      <c r="M92" s="6">
        <v>4.57</v>
      </c>
      <c r="N92" s="6">
        <v>15.21</v>
      </c>
      <c r="O92" s="6">
        <v>1.81</v>
      </c>
      <c r="P92" s="6">
        <v>0.53</v>
      </c>
      <c r="Q92" s="6">
        <v>1.44</v>
      </c>
      <c r="R92" s="6">
        <v>0.19</v>
      </c>
      <c r="S92" s="6">
        <v>0.99</v>
      </c>
      <c r="T92" s="6">
        <v>0.18</v>
      </c>
      <c r="U92" s="6">
        <v>0.43</v>
      </c>
      <c r="V92" s="6">
        <v>0.05</v>
      </c>
      <c r="W92" s="6">
        <v>0.41</v>
      </c>
      <c r="X92" s="6">
        <v>0.05</v>
      </c>
      <c r="Y92" s="6">
        <v>5.36</v>
      </c>
      <c r="Z92" s="6">
        <v>9.100000000000001</v>
      </c>
      <c r="AA92" s="6" t="s">
        <v>418</v>
      </c>
      <c r="AB92" s="7" t="s">
        <v>419</v>
      </c>
      <c r="AC92" s="7"/>
      <c r="AD92" s="11" t="s">
        <v>420</v>
      </c>
      <c r="AE92" s="7"/>
    </row>
    <row r="93" ht="13.5" customHeight="1">
      <c r="A93" s="6">
        <f t="shared" si="21"/>
        <v>91</v>
      </c>
      <c r="B93" s="6"/>
      <c r="C93" s="6"/>
      <c r="D93" s="6" t="s">
        <v>421</v>
      </c>
      <c r="E93" s="6" t="s">
        <v>422</v>
      </c>
      <c r="F93" s="6" t="s">
        <v>98</v>
      </c>
      <c r="G93" s="6"/>
      <c r="H93" s="6" t="s">
        <v>423</v>
      </c>
      <c r="I93" s="6"/>
      <c r="J93" s="6"/>
      <c r="K93" s="6"/>
      <c r="L93" s="6"/>
      <c r="M93" s="6"/>
      <c r="N93" s="6"/>
      <c r="O93" s="6"/>
      <c r="P93" s="6"/>
      <c r="Q93" s="6"/>
      <c r="R93" s="6"/>
      <c r="S93" s="6"/>
      <c r="T93" s="6"/>
      <c r="U93" s="6"/>
      <c r="V93" s="6"/>
      <c r="W93" s="6"/>
      <c r="X93" s="6"/>
      <c r="Y93" s="6"/>
      <c r="Z93" s="6"/>
      <c r="AA93" s="6"/>
      <c r="AB93" s="7"/>
      <c r="AC93" s="7"/>
      <c r="AD93" s="7"/>
      <c r="AE93" s="7"/>
    </row>
    <row r="94" ht="13.5" customHeight="1">
      <c r="A94" s="6">
        <f t="shared" si="21"/>
        <v>92</v>
      </c>
      <c r="B94" s="6">
        <v>77.0</v>
      </c>
      <c r="C94" s="6" t="s">
        <v>424</v>
      </c>
      <c r="D94" s="6" t="s">
        <v>425</v>
      </c>
      <c r="E94" s="6" t="s">
        <v>426</v>
      </c>
      <c r="F94" s="6" t="s">
        <v>117</v>
      </c>
      <c r="G94" s="6" t="s">
        <v>427</v>
      </c>
      <c r="H94" s="6" t="s">
        <v>183</v>
      </c>
      <c r="I94" s="6"/>
      <c r="J94" s="6"/>
      <c r="K94" s="6">
        <v>0.02</v>
      </c>
      <c r="L94" s="6">
        <v>0.0</v>
      </c>
      <c r="M94" s="6">
        <v>0.0</v>
      </c>
      <c r="N94" s="6">
        <v>0.0</v>
      </c>
      <c r="O94" s="6">
        <v>2.19</v>
      </c>
      <c r="P94" s="6">
        <v>0.52</v>
      </c>
      <c r="Q94" s="6">
        <v>4.22</v>
      </c>
      <c r="R94" s="6">
        <v>0.0</v>
      </c>
      <c r="S94" s="6">
        <v>7.93</v>
      </c>
      <c r="T94" s="6">
        <v>2.55</v>
      </c>
      <c r="U94" s="6">
        <v>5.51</v>
      </c>
      <c r="V94" s="6">
        <v>0.98</v>
      </c>
      <c r="W94" s="6">
        <v>6.69</v>
      </c>
      <c r="X94" s="6">
        <v>0.0</v>
      </c>
      <c r="Y94" s="6">
        <v>69.4</v>
      </c>
      <c r="Z94" s="6">
        <v>97.28</v>
      </c>
      <c r="AA94" s="6" t="s">
        <v>428</v>
      </c>
      <c r="AB94" s="11" t="s">
        <v>420</v>
      </c>
      <c r="AC94" s="7"/>
      <c r="AD94" s="11" t="s">
        <v>420</v>
      </c>
      <c r="AE94" s="7"/>
    </row>
    <row r="95" ht="13.5" customHeight="1">
      <c r="A95" s="6">
        <f t="shared" si="21"/>
        <v>93</v>
      </c>
      <c r="B95" s="6">
        <f t="shared" ref="B95:B96" si="24">B94+1</f>
        <v>78</v>
      </c>
      <c r="C95" s="6" t="s">
        <v>429</v>
      </c>
      <c r="D95" s="6" t="s">
        <v>430</v>
      </c>
      <c r="E95" s="6" t="s">
        <v>431</v>
      </c>
      <c r="F95" s="6" t="s">
        <v>98</v>
      </c>
      <c r="G95" s="6">
        <v>4.0</v>
      </c>
      <c r="H95" s="6" t="s">
        <v>58</v>
      </c>
      <c r="I95" s="6">
        <v>717.4</v>
      </c>
      <c r="J95" s="6">
        <v>1.12</v>
      </c>
      <c r="K95" s="6">
        <v>25.0</v>
      </c>
      <c r="L95" s="6">
        <v>50.0</v>
      </c>
      <c r="M95" s="6">
        <v>5.0</v>
      </c>
      <c r="N95" s="6">
        <v>15.0</v>
      </c>
      <c r="O95" s="6">
        <v>0.7</v>
      </c>
      <c r="P95" s="6">
        <v>0.09</v>
      </c>
      <c r="Q95" s="6">
        <v>0.6</v>
      </c>
      <c r="R95" s="6">
        <v>0.0</v>
      </c>
      <c r="S95" s="6">
        <v>0.6</v>
      </c>
      <c r="T95" s="6">
        <v>0.7</v>
      </c>
      <c r="U95" s="6">
        <v>0.8</v>
      </c>
      <c r="V95" s="6">
        <v>0.1</v>
      </c>
      <c r="W95" s="6">
        <v>0.2</v>
      </c>
      <c r="X95" s="6">
        <v>0.15</v>
      </c>
      <c r="Y95" s="6">
        <v>1.3</v>
      </c>
      <c r="Z95" s="6">
        <v>4.45</v>
      </c>
      <c r="AA95" s="6" t="s">
        <v>432</v>
      </c>
      <c r="AB95" s="11" t="s">
        <v>420</v>
      </c>
      <c r="AC95" s="7"/>
      <c r="AD95" s="11" t="s">
        <v>420</v>
      </c>
      <c r="AE95" s="7"/>
    </row>
    <row r="96" ht="28.5" customHeight="1">
      <c r="A96" s="6">
        <f t="shared" si="21"/>
        <v>94</v>
      </c>
      <c r="B96" s="6">
        <f t="shared" si="24"/>
        <v>79</v>
      </c>
      <c r="C96" s="6" t="s">
        <v>433</v>
      </c>
      <c r="D96" s="6" t="s">
        <v>434</v>
      </c>
      <c r="E96" s="6" t="s">
        <v>435</v>
      </c>
      <c r="F96" s="6" t="s">
        <v>98</v>
      </c>
      <c r="G96" s="6" t="s">
        <v>374</v>
      </c>
      <c r="H96" s="6" t="s">
        <v>436</v>
      </c>
      <c r="I96" s="6">
        <v>894.6</v>
      </c>
      <c r="J96" s="6">
        <v>0.31</v>
      </c>
      <c r="K96" s="6"/>
      <c r="L96" s="6"/>
      <c r="M96" s="6"/>
      <c r="N96" s="6"/>
      <c r="O96" s="6"/>
      <c r="P96" s="6"/>
      <c r="Q96" s="6"/>
      <c r="R96" s="6"/>
      <c r="S96" s="6"/>
      <c r="T96" s="6"/>
      <c r="U96" s="6"/>
      <c r="V96" s="6"/>
      <c r="W96" s="6"/>
      <c r="X96" s="6"/>
      <c r="Y96" s="6"/>
      <c r="Z96" s="6"/>
      <c r="AA96" s="6"/>
      <c r="AB96" s="11" t="s">
        <v>420</v>
      </c>
      <c r="AC96" s="7"/>
      <c r="AD96" s="11" t="s">
        <v>420</v>
      </c>
      <c r="AE96" s="7"/>
    </row>
    <row r="97" ht="13.5" customHeight="1">
      <c r="A97" s="6">
        <f t="shared" si="21"/>
        <v>95</v>
      </c>
      <c r="B97" s="6"/>
      <c r="D97" s="6" t="s">
        <v>437</v>
      </c>
      <c r="E97" s="6" t="s">
        <v>435</v>
      </c>
      <c r="F97" s="6" t="s">
        <v>98</v>
      </c>
      <c r="G97" s="6" t="s">
        <v>374</v>
      </c>
      <c r="H97" s="6" t="s">
        <v>436</v>
      </c>
      <c r="I97" s="6"/>
      <c r="J97" s="6"/>
      <c r="K97" s="6"/>
      <c r="L97" s="6"/>
      <c r="M97" s="6"/>
      <c r="N97" s="6"/>
      <c r="O97" s="6"/>
      <c r="P97" s="6"/>
      <c r="Q97" s="6"/>
      <c r="R97" s="6"/>
      <c r="S97" s="6"/>
      <c r="T97" s="6"/>
      <c r="U97" s="6"/>
      <c r="V97" s="6"/>
      <c r="W97" s="6"/>
      <c r="X97" s="6"/>
      <c r="Y97" s="6"/>
      <c r="Z97" s="6"/>
      <c r="AA97" s="6"/>
      <c r="AB97" s="11" t="s">
        <v>420</v>
      </c>
      <c r="AC97" s="7"/>
      <c r="AD97" s="11" t="s">
        <v>420</v>
      </c>
      <c r="AE97" s="7"/>
    </row>
    <row r="98" ht="13.5" customHeight="1">
      <c r="A98" s="6">
        <f t="shared" si="21"/>
        <v>96</v>
      </c>
      <c r="B98" s="6"/>
      <c r="D98" s="6" t="s">
        <v>438</v>
      </c>
      <c r="E98" s="6" t="s">
        <v>435</v>
      </c>
      <c r="F98" s="6" t="s">
        <v>98</v>
      </c>
      <c r="G98" s="6" t="s">
        <v>374</v>
      </c>
      <c r="H98" s="6" t="s">
        <v>436</v>
      </c>
      <c r="I98" s="6"/>
      <c r="J98" s="6"/>
      <c r="K98" s="6"/>
      <c r="L98" s="6"/>
      <c r="M98" s="6"/>
      <c r="N98" s="6"/>
      <c r="O98" s="6"/>
      <c r="P98" s="6"/>
      <c r="Q98" s="6"/>
      <c r="R98" s="6"/>
      <c r="S98" s="6"/>
      <c r="T98" s="6"/>
      <c r="U98" s="6"/>
      <c r="V98" s="6"/>
      <c r="W98" s="6"/>
      <c r="X98" s="6"/>
      <c r="Y98" s="6"/>
      <c r="Z98" s="6"/>
      <c r="AA98" s="6"/>
      <c r="AB98" s="11" t="s">
        <v>420</v>
      </c>
      <c r="AC98" s="7"/>
      <c r="AD98" s="11" t="s">
        <v>420</v>
      </c>
      <c r="AE98" s="7"/>
    </row>
    <row r="99" ht="13.5" customHeight="1">
      <c r="A99" s="6">
        <f t="shared" si="21"/>
        <v>97</v>
      </c>
      <c r="B99" s="6"/>
      <c r="D99" s="6" t="s">
        <v>439</v>
      </c>
      <c r="E99" s="6" t="s">
        <v>435</v>
      </c>
      <c r="F99" s="6" t="s">
        <v>98</v>
      </c>
      <c r="G99" s="6" t="s">
        <v>374</v>
      </c>
      <c r="H99" s="6" t="s">
        <v>436</v>
      </c>
      <c r="I99" s="6"/>
      <c r="J99" s="6"/>
      <c r="K99" s="6"/>
      <c r="L99" s="6"/>
      <c r="M99" s="6"/>
      <c r="N99" s="6"/>
      <c r="O99" s="6"/>
      <c r="P99" s="6"/>
      <c r="Q99" s="6"/>
      <c r="R99" s="6"/>
      <c r="S99" s="6"/>
      <c r="T99" s="6"/>
      <c r="U99" s="6"/>
      <c r="V99" s="6"/>
      <c r="W99" s="6"/>
      <c r="X99" s="6"/>
      <c r="Y99" s="6"/>
      <c r="Z99" s="6"/>
      <c r="AA99" s="6"/>
      <c r="AB99" s="11" t="s">
        <v>420</v>
      </c>
      <c r="AC99" s="7"/>
      <c r="AD99" s="11" t="s">
        <v>420</v>
      </c>
      <c r="AE99" s="7"/>
    </row>
    <row r="100" ht="13.5" customHeight="1">
      <c r="A100" s="6">
        <f t="shared" si="21"/>
        <v>98</v>
      </c>
      <c r="B100" s="6"/>
      <c r="C100" s="6" t="s">
        <v>440</v>
      </c>
      <c r="D100" s="6" t="s">
        <v>441</v>
      </c>
      <c r="E100" s="6" t="s">
        <v>435</v>
      </c>
      <c r="F100" s="6" t="s">
        <v>98</v>
      </c>
      <c r="G100" s="6" t="s">
        <v>374</v>
      </c>
      <c r="H100" s="6" t="s">
        <v>436</v>
      </c>
      <c r="I100" s="6"/>
      <c r="J100" s="6"/>
      <c r="K100" s="6"/>
      <c r="L100" s="6"/>
      <c r="M100" s="6"/>
      <c r="N100" s="6"/>
      <c r="O100" s="6"/>
      <c r="P100" s="6"/>
      <c r="Q100" s="6"/>
      <c r="R100" s="6"/>
      <c r="S100" s="6"/>
      <c r="T100" s="6"/>
      <c r="U100" s="6"/>
      <c r="V100" s="6"/>
      <c r="W100" s="6"/>
      <c r="X100" s="6"/>
      <c r="Y100" s="6"/>
      <c r="Z100" s="6"/>
      <c r="AA100" s="6"/>
      <c r="AB100" s="11" t="s">
        <v>420</v>
      </c>
      <c r="AC100" s="7"/>
      <c r="AD100" s="11" t="s">
        <v>420</v>
      </c>
      <c r="AE100" s="7"/>
    </row>
    <row r="101" ht="13.5" customHeight="1">
      <c r="A101" s="6">
        <f t="shared" si="21"/>
        <v>99</v>
      </c>
      <c r="B101" s="6"/>
      <c r="C101" s="6" t="s">
        <v>442</v>
      </c>
      <c r="D101" s="6" t="s">
        <v>443</v>
      </c>
      <c r="E101" s="6" t="s">
        <v>431</v>
      </c>
      <c r="F101" s="6" t="s">
        <v>98</v>
      </c>
      <c r="G101" s="6">
        <v>1.0</v>
      </c>
      <c r="H101" s="6" t="s">
        <v>436</v>
      </c>
      <c r="I101" s="6"/>
      <c r="J101" s="6"/>
      <c r="K101" s="6"/>
      <c r="L101" s="6"/>
      <c r="M101" s="6"/>
      <c r="N101" s="6"/>
      <c r="O101" s="6"/>
      <c r="P101" s="6"/>
      <c r="Q101" s="6"/>
      <c r="R101" s="6"/>
      <c r="S101" s="6"/>
      <c r="T101" s="6"/>
      <c r="U101" s="6"/>
      <c r="V101" s="6"/>
      <c r="W101" s="6"/>
      <c r="X101" s="6"/>
      <c r="Y101" s="6"/>
      <c r="Z101" s="6"/>
      <c r="AA101" s="6"/>
      <c r="AB101" s="11" t="s">
        <v>420</v>
      </c>
      <c r="AC101" s="7"/>
      <c r="AD101" s="11" t="s">
        <v>420</v>
      </c>
      <c r="AE101" s="7"/>
    </row>
    <row r="102" ht="13.5" customHeight="1">
      <c r="A102" s="6">
        <f t="shared" si="21"/>
        <v>100</v>
      </c>
      <c r="B102" s="6">
        <v>80.0</v>
      </c>
      <c r="C102" s="6"/>
      <c r="D102" s="6" t="s">
        <v>444</v>
      </c>
      <c r="E102" s="6" t="s">
        <v>445</v>
      </c>
      <c r="F102" s="6" t="s">
        <v>117</v>
      </c>
      <c r="G102" s="6" t="s">
        <v>374</v>
      </c>
      <c r="H102" s="6" t="s">
        <v>35</v>
      </c>
      <c r="I102" s="6">
        <v>286.23</v>
      </c>
      <c r="J102" s="6">
        <v>5.38</v>
      </c>
      <c r="K102" s="6"/>
      <c r="L102" s="6"/>
      <c r="M102" s="6"/>
      <c r="N102" s="6"/>
      <c r="O102" s="6"/>
      <c r="P102" s="6"/>
      <c r="Q102" s="6"/>
      <c r="R102" s="6"/>
      <c r="S102" s="6"/>
      <c r="T102" s="6"/>
      <c r="U102" s="6"/>
      <c r="V102" s="6"/>
      <c r="W102" s="6"/>
      <c r="X102" s="6"/>
      <c r="Y102" s="6"/>
      <c r="Z102" s="6"/>
      <c r="AA102" s="6"/>
      <c r="AB102" s="11" t="s">
        <v>420</v>
      </c>
      <c r="AC102" s="7"/>
      <c r="AD102" s="11" t="s">
        <v>420</v>
      </c>
      <c r="AE102" s="7"/>
    </row>
    <row r="103" ht="13.5" customHeight="1">
      <c r="A103" s="6">
        <f t="shared" si="21"/>
        <v>101</v>
      </c>
      <c r="B103" s="6">
        <v>81.0</v>
      </c>
      <c r="C103" s="6"/>
      <c r="D103" s="6" t="s">
        <v>446</v>
      </c>
      <c r="E103" s="6" t="s">
        <v>417</v>
      </c>
      <c r="F103" s="6" t="s">
        <v>117</v>
      </c>
      <c r="G103" s="6" t="s">
        <v>374</v>
      </c>
      <c r="H103" s="6" t="s">
        <v>447</v>
      </c>
      <c r="I103" s="6">
        <v>441.04</v>
      </c>
      <c r="J103" s="6">
        <v>0.35</v>
      </c>
      <c r="K103" s="6"/>
      <c r="L103" s="6"/>
      <c r="M103" s="6"/>
      <c r="N103" s="6"/>
      <c r="O103" s="6"/>
      <c r="P103" s="6"/>
      <c r="Q103" s="6"/>
      <c r="R103" s="6"/>
      <c r="S103" s="6"/>
      <c r="T103" s="6"/>
      <c r="U103" s="6"/>
      <c r="V103" s="6"/>
      <c r="W103" s="6"/>
      <c r="X103" s="6"/>
      <c r="Y103" s="6"/>
      <c r="Z103" s="6"/>
      <c r="AA103" s="6"/>
      <c r="AB103" s="11" t="s">
        <v>420</v>
      </c>
      <c r="AC103" s="7"/>
      <c r="AD103" s="11" t="s">
        <v>420</v>
      </c>
      <c r="AE103" s="7"/>
    </row>
    <row r="104" ht="13.5" customHeight="1">
      <c r="A104" s="6">
        <f t="shared" si="21"/>
        <v>102</v>
      </c>
      <c r="B104" s="6">
        <v>82.0</v>
      </c>
      <c r="C104" s="6"/>
      <c r="D104" s="6" t="s">
        <v>448</v>
      </c>
      <c r="E104" s="6" t="s">
        <v>449</v>
      </c>
      <c r="F104" s="6" t="s">
        <v>117</v>
      </c>
      <c r="G104" s="6" t="s">
        <v>374</v>
      </c>
      <c r="H104" s="6" t="s">
        <v>35</v>
      </c>
      <c r="I104" s="6">
        <v>164.59</v>
      </c>
      <c r="J104" s="6">
        <v>0.9</v>
      </c>
      <c r="K104" s="6"/>
      <c r="L104" s="6"/>
      <c r="M104" s="6"/>
      <c r="N104" s="6"/>
      <c r="O104" s="6"/>
      <c r="P104" s="6"/>
      <c r="Q104" s="6"/>
      <c r="R104" s="6"/>
      <c r="S104" s="6"/>
      <c r="T104" s="6"/>
      <c r="U104" s="6"/>
      <c r="V104" s="6"/>
      <c r="W104" s="6"/>
      <c r="X104" s="6"/>
      <c r="Y104" s="6"/>
      <c r="Z104" s="6"/>
      <c r="AA104" s="6"/>
      <c r="AB104" s="11" t="s">
        <v>420</v>
      </c>
      <c r="AC104" s="7"/>
      <c r="AD104" s="11" t="s">
        <v>420</v>
      </c>
      <c r="AE104" s="7"/>
    </row>
    <row r="105" ht="13.5" customHeight="1">
      <c r="A105" s="6">
        <f t="shared" si="21"/>
        <v>103</v>
      </c>
      <c r="B105" s="6">
        <v>83.0</v>
      </c>
      <c r="C105" s="6" t="s">
        <v>450</v>
      </c>
      <c r="D105" s="6" t="s">
        <v>451</v>
      </c>
      <c r="E105" s="6" t="s">
        <v>452</v>
      </c>
      <c r="F105" s="6" t="s">
        <v>98</v>
      </c>
      <c r="G105" s="6">
        <v>1.0</v>
      </c>
      <c r="H105" s="6" t="s">
        <v>453</v>
      </c>
      <c r="I105" s="6">
        <v>103.11</v>
      </c>
      <c r="J105" s="6">
        <v>0.04</v>
      </c>
      <c r="K105" s="6"/>
      <c r="L105" s="6"/>
      <c r="M105" s="6"/>
      <c r="N105" s="6"/>
      <c r="O105" s="6"/>
      <c r="P105" s="6"/>
      <c r="Q105" s="6"/>
      <c r="R105" s="6"/>
      <c r="S105" s="6"/>
      <c r="T105" s="6"/>
      <c r="U105" s="6"/>
      <c r="V105" s="6"/>
      <c r="W105" s="6"/>
      <c r="X105" s="6"/>
      <c r="Y105" s="6"/>
      <c r="Z105" s="6"/>
      <c r="AA105" s="6"/>
      <c r="AB105" s="11" t="s">
        <v>420</v>
      </c>
      <c r="AC105" s="7"/>
      <c r="AD105" s="11" t="s">
        <v>420</v>
      </c>
      <c r="AE105" s="7"/>
    </row>
    <row r="106" ht="13.5" customHeight="1">
      <c r="A106" s="6">
        <f t="shared" si="21"/>
        <v>104</v>
      </c>
      <c r="B106" s="6">
        <v>84.0</v>
      </c>
      <c r="C106" s="6" t="s">
        <v>454</v>
      </c>
      <c r="D106" s="6" t="s">
        <v>455</v>
      </c>
      <c r="E106" s="6" t="s">
        <v>456</v>
      </c>
      <c r="F106" s="6" t="s">
        <v>87</v>
      </c>
      <c r="G106" s="6">
        <v>4.0</v>
      </c>
      <c r="H106" s="6" t="s">
        <v>35</v>
      </c>
      <c r="I106" s="6">
        <v>120.0</v>
      </c>
      <c r="J106" s="6">
        <v>3.0</v>
      </c>
      <c r="K106" s="6">
        <v>28.04182509505704</v>
      </c>
      <c r="L106" s="6">
        <v>49.40589353612169</v>
      </c>
      <c r="M106" s="6">
        <v>4.5389733840304185</v>
      </c>
      <c r="N106" s="6">
        <v>13.854562737642587</v>
      </c>
      <c r="O106" s="6">
        <v>1.4971482889733843</v>
      </c>
      <c r="P106" s="6">
        <v>0.3326996197718632</v>
      </c>
      <c r="Q106" s="6">
        <v>0.6891634980988595</v>
      </c>
      <c r="R106" s="6">
        <v>0.07129277566539925</v>
      </c>
      <c r="S106" s="6">
        <v>0.285171102661597</v>
      </c>
      <c r="T106" s="6">
        <v>0.04752851711026617</v>
      </c>
      <c r="U106" s="6">
        <v>0.07129277566539925</v>
      </c>
      <c r="V106" s="6">
        <v>0.0</v>
      </c>
      <c r="W106" s="6">
        <v>0.04752851711026617</v>
      </c>
      <c r="X106" s="6">
        <v>0.0</v>
      </c>
      <c r="Y106" s="6">
        <v>1.1169201520912548</v>
      </c>
      <c r="Z106" s="6">
        <v>2.328897338403042</v>
      </c>
      <c r="AA106" s="6" t="s">
        <v>59</v>
      </c>
      <c r="AB106" s="7" t="s">
        <v>457</v>
      </c>
      <c r="AC106" s="7"/>
      <c r="AD106" s="7" t="s">
        <v>458</v>
      </c>
      <c r="AE106" s="7"/>
    </row>
    <row r="107" ht="13.5" customHeight="1">
      <c r="A107" s="6">
        <f t="shared" si="21"/>
        <v>105</v>
      </c>
      <c r="B107" s="6"/>
      <c r="C107" s="6" t="s">
        <v>459</v>
      </c>
      <c r="D107" s="6" t="s">
        <v>460</v>
      </c>
      <c r="E107" s="6" t="s">
        <v>456</v>
      </c>
      <c r="F107" s="6" t="s">
        <v>87</v>
      </c>
      <c r="G107" s="6"/>
      <c r="H107" s="6" t="s">
        <v>35</v>
      </c>
      <c r="I107" s="6">
        <v>119.1</v>
      </c>
      <c r="J107" s="6">
        <v>4.22</v>
      </c>
      <c r="K107" s="6"/>
      <c r="L107" s="6"/>
      <c r="M107" s="6"/>
      <c r="N107" s="6"/>
      <c r="O107" s="6"/>
      <c r="P107" s="6"/>
      <c r="Q107" s="6"/>
      <c r="R107" s="6"/>
      <c r="S107" s="6"/>
      <c r="T107" s="6"/>
      <c r="U107" s="6"/>
      <c r="V107" s="6"/>
      <c r="W107" s="6"/>
      <c r="X107" s="6"/>
      <c r="Y107" s="6"/>
      <c r="Z107" s="6"/>
      <c r="AA107" s="6"/>
      <c r="AB107" s="7" t="s">
        <v>461</v>
      </c>
      <c r="AC107" s="7"/>
      <c r="AD107" s="7" t="s">
        <v>462</v>
      </c>
      <c r="AE107" s="7"/>
    </row>
    <row r="108" ht="13.5" customHeight="1">
      <c r="A108" s="6">
        <f t="shared" si="21"/>
        <v>106</v>
      </c>
      <c r="B108" s="6">
        <v>85.0</v>
      </c>
      <c r="C108" s="6" t="s">
        <v>463</v>
      </c>
      <c r="D108" s="6" t="s">
        <v>464</v>
      </c>
      <c r="E108" s="6" t="s">
        <v>465</v>
      </c>
      <c r="F108" s="6" t="s">
        <v>73</v>
      </c>
      <c r="G108" s="6">
        <v>2.0</v>
      </c>
      <c r="H108" s="6" t="s">
        <v>35</v>
      </c>
      <c r="I108" s="6">
        <v>86.8</v>
      </c>
      <c r="J108" s="6">
        <v>2.04</v>
      </c>
      <c r="K108" s="6">
        <v>25.3584229390681</v>
      </c>
      <c r="L108" s="6">
        <v>44.041218637992834</v>
      </c>
      <c r="M108" s="6">
        <v>4.614695340501792</v>
      </c>
      <c r="N108" s="6">
        <v>15.86021505376344</v>
      </c>
      <c r="O108" s="6">
        <v>2.28494623655914</v>
      </c>
      <c r="P108" s="6">
        <v>0.5824372759856631</v>
      </c>
      <c r="Q108" s="6">
        <v>1.4336917562724016</v>
      </c>
      <c r="R108" s="6">
        <v>0.1792114695340502</v>
      </c>
      <c r="S108" s="6">
        <v>0.7616487455197134</v>
      </c>
      <c r="T108" s="6">
        <v>0.13440860215053765</v>
      </c>
      <c r="U108" s="6">
        <v>0.3136200716845879</v>
      </c>
      <c r="V108" s="6">
        <v>0.04480286738351255</v>
      </c>
      <c r="W108" s="6">
        <v>0.22401433691756276</v>
      </c>
      <c r="X108" s="6">
        <v>0.04480286738351255</v>
      </c>
      <c r="Y108" s="6">
        <v>4.121863799283155</v>
      </c>
      <c r="Z108" s="6">
        <v>7.258064516129033</v>
      </c>
      <c r="AA108" s="6" t="s">
        <v>59</v>
      </c>
      <c r="AB108" s="7"/>
      <c r="AC108" s="7" t="s">
        <v>466</v>
      </c>
      <c r="AD108" s="7" t="s">
        <v>467</v>
      </c>
      <c r="AE108" s="7"/>
    </row>
    <row r="109" ht="13.5" customHeight="1">
      <c r="A109" s="6">
        <f t="shared" si="21"/>
        <v>107</v>
      </c>
      <c r="B109" s="6">
        <f t="shared" ref="B109:B115" si="25">B108+1</f>
        <v>86</v>
      </c>
      <c r="C109" s="6" t="s">
        <v>468</v>
      </c>
      <c r="D109" s="6" t="s">
        <v>469</v>
      </c>
      <c r="E109" s="6" t="s">
        <v>470</v>
      </c>
      <c r="F109" s="6" t="s">
        <v>73</v>
      </c>
      <c r="G109" s="6" t="s">
        <v>374</v>
      </c>
      <c r="H109" s="6" t="s">
        <v>471</v>
      </c>
      <c r="I109" s="6">
        <v>35.87</v>
      </c>
      <c r="J109" s="6">
        <v>1.24</v>
      </c>
      <c r="K109" s="6">
        <v>16.86237670267732</v>
      </c>
      <c r="L109" s="6">
        <v>44.90371066228278</v>
      </c>
      <c r="M109" s="6">
        <v>5.730389854391736</v>
      </c>
      <c r="N109" s="6">
        <v>22.217003287928613</v>
      </c>
      <c r="O109" s="6">
        <v>3.5227806481916404</v>
      </c>
      <c r="P109" s="6">
        <v>0.8924377642085489</v>
      </c>
      <c r="Q109" s="6">
        <v>2.019727571629874</v>
      </c>
      <c r="R109" s="6">
        <v>0.18788163457022083</v>
      </c>
      <c r="S109" s="6">
        <v>0.7515265382808833</v>
      </c>
      <c r="T109" s="6">
        <v>0.09394081728511042</v>
      </c>
      <c r="U109" s="6">
        <v>0.18788163457022083</v>
      </c>
      <c r="V109" s="6">
        <v>0.0</v>
      </c>
      <c r="W109" s="6">
        <v>0.09394081728511042</v>
      </c>
      <c r="X109" s="6">
        <v>0.0</v>
      </c>
      <c r="Y109" s="6">
        <v>2.536402066697981</v>
      </c>
      <c r="Z109" s="6">
        <v>5.871301080319402</v>
      </c>
      <c r="AA109" s="6" t="s">
        <v>59</v>
      </c>
      <c r="AB109" s="7" t="s">
        <v>472</v>
      </c>
      <c r="AC109" s="7" t="s">
        <v>472</v>
      </c>
      <c r="AD109" s="7" t="s">
        <v>473</v>
      </c>
      <c r="AE109" s="7"/>
    </row>
    <row r="110" ht="13.5" customHeight="1">
      <c r="A110" s="6">
        <f t="shared" si="21"/>
        <v>108</v>
      </c>
      <c r="B110" s="6">
        <f t="shared" si="25"/>
        <v>87</v>
      </c>
      <c r="C110" s="6" t="s">
        <v>474</v>
      </c>
      <c r="D110" s="6" t="s">
        <v>475</v>
      </c>
      <c r="E110" s="6" t="s">
        <v>476</v>
      </c>
      <c r="F110" s="6" t="s">
        <v>73</v>
      </c>
      <c r="G110" s="6" t="s">
        <v>374</v>
      </c>
      <c r="H110" s="6" t="s">
        <v>197</v>
      </c>
      <c r="I110" s="6">
        <v>17.67</v>
      </c>
      <c r="J110" s="6">
        <v>0.0897</v>
      </c>
      <c r="K110" s="6">
        <v>19.37</v>
      </c>
      <c r="L110" s="6">
        <v>40.67</v>
      </c>
      <c r="M110" s="6">
        <v>4.01</v>
      </c>
      <c r="N110" s="6">
        <v>12.93</v>
      </c>
      <c r="O110" s="6">
        <v>2.26</v>
      </c>
      <c r="P110" s="6">
        <v>0.21</v>
      </c>
      <c r="Q110" s="6">
        <v>2.05</v>
      </c>
      <c r="R110" s="6">
        <v>0.34</v>
      </c>
      <c r="S110" s="6">
        <v>2.2</v>
      </c>
      <c r="T110" s="6">
        <v>0.45</v>
      </c>
      <c r="U110" s="6">
        <v>1.43</v>
      </c>
      <c r="V110" s="6">
        <v>0.21</v>
      </c>
      <c r="W110" s="6">
        <v>1.38</v>
      </c>
      <c r="X110" s="6">
        <v>0.18</v>
      </c>
      <c r="Y110" s="6">
        <v>12.3</v>
      </c>
      <c r="Z110" s="6">
        <v>20.54</v>
      </c>
      <c r="AA110" s="6" t="s">
        <v>477</v>
      </c>
      <c r="AB110" s="7" t="s">
        <v>478</v>
      </c>
      <c r="AC110" s="7"/>
      <c r="AD110" s="7" t="s">
        <v>479</v>
      </c>
      <c r="AE110" s="7"/>
    </row>
    <row r="111" ht="13.5" customHeight="1">
      <c r="A111" s="6">
        <f t="shared" si="21"/>
        <v>109</v>
      </c>
      <c r="B111" s="6">
        <f t="shared" si="25"/>
        <v>88</v>
      </c>
      <c r="C111" s="6" t="s">
        <v>480</v>
      </c>
      <c r="D111" s="6" t="s">
        <v>481</v>
      </c>
      <c r="E111" s="6" t="s">
        <v>482</v>
      </c>
      <c r="F111" s="6" t="s">
        <v>73</v>
      </c>
      <c r="G111" s="6">
        <v>4.0</v>
      </c>
      <c r="H111" s="6" t="s">
        <v>48</v>
      </c>
      <c r="I111" s="6">
        <v>25.3</v>
      </c>
      <c r="J111" s="6">
        <v>1.3</v>
      </c>
      <c r="K111" s="6">
        <v>21.2</v>
      </c>
      <c r="L111" s="6">
        <v>48.79</v>
      </c>
      <c r="M111" s="6">
        <v>5.49</v>
      </c>
      <c r="N111" s="6">
        <v>19.0</v>
      </c>
      <c r="O111" s="6">
        <v>2.56</v>
      </c>
      <c r="P111" s="6">
        <v>0.01</v>
      </c>
      <c r="Q111" s="6">
        <v>1.35</v>
      </c>
      <c r="R111" s="6">
        <v>0.1</v>
      </c>
      <c r="S111" s="6">
        <v>0.29</v>
      </c>
      <c r="T111" s="6">
        <v>0.02</v>
      </c>
      <c r="U111" s="6">
        <v>0.06</v>
      </c>
      <c r="V111" s="6">
        <v>0.01</v>
      </c>
      <c r="W111" s="6">
        <v>0.08</v>
      </c>
      <c r="X111" s="6">
        <v>0.01</v>
      </c>
      <c r="Y111" s="6">
        <v>1.02</v>
      </c>
      <c r="Z111" s="6">
        <v>2.9400000000000004</v>
      </c>
      <c r="AA111" s="6" t="s">
        <v>483</v>
      </c>
      <c r="AB111" s="7" t="s">
        <v>484</v>
      </c>
      <c r="AC111" s="7" t="s">
        <v>485</v>
      </c>
      <c r="AD111" s="7" t="s">
        <v>485</v>
      </c>
      <c r="AE111" s="7"/>
    </row>
    <row r="112" ht="13.5" customHeight="1">
      <c r="A112" s="6">
        <f t="shared" si="21"/>
        <v>110</v>
      </c>
      <c r="B112" s="6">
        <f t="shared" si="25"/>
        <v>89</v>
      </c>
      <c r="C112" s="6" t="s">
        <v>486</v>
      </c>
      <c r="D112" s="6" t="s">
        <v>487</v>
      </c>
      <c r="E112" s="6" t="s">
        <v>488</v>
      </c>
      <c r="F112" s="6" t="s">
        <v>117</v>
      </c>
      <c r="G112" s="6">
        <v>4.0</v>
      </c>
      <c r="H112" s="6" t="s">
        <v>197</v>
      </c>
      <c r="I112" s="6"/>
      <c r="J112" s="6"/>
      <c r="K112" s="6"/>
      <c r="L112" s="6"/>
      <c r="M112" s="6"/>
      <c r="N112" s="6"/>
      <c r="O112" s="6"/>
      <c r="P112" s="6"/>
      <c r="Q112" s="6"/>
      <c r="R112" s="6"/>
      <c r="S112" s="6"/>
      <c r="T112" s="6"/>
      <c r="U112" s="6"/>
      <c r="V112" s="6"/>
      <c r="W112" s="6"/>
      <c r="X112" s="6"/>
      <c r="Y112" s="6"/>
      <c r="Z112" s="6"/>
      <c r="AA112" s="6"/>
      <c r="AB112" s="7" t="s">
        <v>489</v>
      </c>
      <c r="AC112" s="7"/>
      <c r="AD112" s="7"/>
      <c r="AE112" s="7"/>
    </row>
    <row r="113" ht="13.5" customHeight="1">
      <c r="A113" s="6">
        <f t="shared" si="21"/>
        <v>111</v>
      </c>
      <c r="B113" s="6">
        <f t="shared" si="25"/>
        <v>90</v>
      </c>
      <c r="C113" s="6" t="s">
        <v>414</v>
      </c>
      <c r="D113" s="6" t="s">
        <v>490</v>
      </c>
      <c r="E113" s="6" t="s">
        <v>490</v>
      </c>
      <c r="F113" s="6" t="s">
        <v>117</v>
      </c>
      <c r="G113" s="6">
        <v>4.0</v>
      </c>
      <c r="H113" s="6" t="s">
        <v>48</v>
      </c>
      <c r="I113" s="6"/>
      <c r="J113" s="6"/>
      <c r="K113" s="6"/>
      <c r="L113" s="6"/>
      <c r="M113" s="6"/>
      <c r="N113" s="6"/>
      <c r="O113" s="6"/>
      <c r="P113" s="6"/>
      <c r="Q113" s="6"/>
      <c r="R113" s="6"/>
      <c r="S113" s="6"/>
      <c r="T113" s="6"/>
      <c r="U113" s="6"/>
      <c r="V113" s="6"/>
      <c r="W113" s="6"/>
      <c r="X113" s="6"/>
      <c r="Y113" s="6"/>
      <c r="Z113" s="6"/>
      <c r="AA113" s="6"/>
      <c r="AB113" s="7" t="s">
        <v>491</v>
      </c>
      <c r="AC113" s="7" t="s">
        <v>491</v>
      </c>
      <c r="AD113" s="7"/>
      <c r="AE113" s="7"/>
    </row>
    <row r="114" ht="13.5" customHeight="1">
      <c r="A114" s="6">
        <f t="shared" si="21"/>
        <v>112</v>
      </c>
      <c r="B114" s="6">
        <f t="shared" si="25"/>
        <v>91</v>
      </c>
      <c r="C114" s="6" t="s">
        <v>414</v>
      </c>
      <c r="D114" s="6" t="s">
        <v>492</v>
      </c>
      <c r="E114" s="6" t="s">
        <v>493</v>
      </c>
      <c r="F114" s="6" t="s">
        <v>117</v>
      </c>
      <c r="G114" s="6" t="s">
        <v>374</v>
      </c>
      <c r="H114" s="6" t="s">
        <v>494</v>
      </c>
      <c r="I114" s="6"/>
      <c r="J114" s="6"/>
      <c r="K114" s="6"/>
      <c r="L114" s="6"/>
      <c r="M114" s="6"/>
      <c r="N114" s="6"/>
      <c r="O114" s="6"/>
      <c r="P114" s="6"/>
      <c r="Q114" s="6"/>
      <c r="R114" s="6"/>
      <c r="S114" s="6"/>
      <c r="T114" s="6"/>
      <c r="U114" s="6"/>
      <c r="V114" s="6"/>
      <c r="W114" s="6"/>
      <c r="X114" s="6"/>
      <c r="Y114" s="6"/>
      <c r="Z114" s="6"/>
      <c r="AA114" s="6"/>
      <c r="AB114" s="7"/>
      <c r="AC114" s="7"/>
      <c r="AD114" s="7"/>
      <c r="AE114" s="7"/>
    </row>
    <row r="115" ht="13.5" customHeight="1">
      <c r="A115" s="6">
        <f t="shared" si="21"/>
        <v>113</v>
      </c>
      <c r="B115" s="6">
        <f t="shared" si="25"/>
        <v>92</v>
      </c>
      <c r="C115" s="6" t="s">
        <v>495</v>
      </c>
      <c r="D115" s="6" t="s">
        <v>496</v>
      </c>
      <c r="E115" s="6" t="s">
        <v>497</v>
      </c>
      <c r="F115" s="6" t="s">
        <v>34</v>
      </c>
      <c r="G115" s="6" t="s">
        <v>374</v>
      </c>
      <c r="H115" s="6" t="s">
        <v>498</v>
      </c>
      <c r="I115" s="6">
        <v>6111.05</v>
      </c>
      <c r="J115" s="6">
        <v>0.55</v>
      </c>
      <c r="K115" s="6">
        <v>36.36</v>
      </c>
      <c r="L115" s="6">
        <v>57.2</v>
      </c>
      <c r="M115" s="6"/>
      <c r="N115" s="6"/>
      <c r="O115" s="6"/>
      <c r="P115" s="6"/>
      <c r="Q115" s="6"/>
      <c r="R115" s="6"/>
      <c r="S115" s="6"/>
      <c r="T115" s="6"/>
      <c r="U115" s="6"/>
      <c r="V115" s="6"/>
      <c r="W115" s="6"/>
      <c r="X115" s="6"/>
      <c r="Y115" s="6"/>
      <c r="Z115" s="6"/>
      <c r="AA115" s="6" t="s">
        <v>499</v>
      </c>
      <c r="AB115" s="7"/>
      <c r="AC115" s="7" t="s">
        <v>500</v>
      </c>
      <c r="AD115" s="7" t="s">
        <v>501</v>
      </c>
      <c r="AE115" s="7"/>
    </row>
    <row r="116" ht="13.5" customHeight="1">
      <c r="A116" s="6">
        <f t="shared" si="21"/>
        <v>114</v>
      </c>
      <c r="B116" s="6"/>
      <c r="D116" s="6" t="s">
        <v>502</v>
      </c>
      <c r="E116" s="6" t="s">
        <v>497</v>
      </c>
      <c r="F116" s="6" t="s">
        <v>34</v>
      </c>
      <c r="G116" s="6" t="s">
        <v>374</v>
      </c>
      <c r="H116" s="6" t="s">
        <v>498</v>
      </c>
      <c r="I116" s="6"/>
      <c r="J116" s="6"/>
      <c r="K116" s="6">
        <v>36.36</v>
      </c>
      <c r="L116" s="6">
        <v>57.2</v>
      </c>
      <c r="M116" s="6"/>
      <c r="N116" s="6"/>
      <c r="O116" s="6"/>
      <c r="P116" s="6"/>
      <c r="Q116" s="6"/>
      <c r="R116" s="6"/>
      <c r="S116" s="6"/>
      <c r="T116" s="6"/>
      <c r="U116" s="6"/>
      <c r="V116" s="6"/>
      <c r="W116" s="6"/>
      <c r="X116" s="6"/>
      <c r="Y116" s="6"/>
      <c r="Z116" s="6"/>
      <c r="AA116" s="6" t="s">
        <v>499</v>
      </c>
      <c r="AB116" s="7"/>
      <c r="AC116" s="7"/>
      <c r="AD116" s="7" t="s">
        <v>503</v>
      </c>
      <c r="AE116" s="7"/>
    </row>
    <row r="117" ht="13.5" customHeight="1">
      <c r="A117" s="6">
        <f t="shared" si="21"/>
        <v>115</v>
      </c>
      <c r="B117" s="6">
        <v>93.0</v>
      </c>
      <c r="C117" s="6" t="s">
        <v>504</v>
      </c>
      <c r="D117" s="6" t="s">
        <v>505</v>
      </c>
      <c r="E117" s="6" t="s">
        <v>506</v>
      </c>
      <c r="F117" s="6" t="s">
        <v>42</v>
      </c>
      <c r="G117" s="6" t="s">
        <v>507</v>
      </c>
      <c r="H117" s="6" t="s">
        <v>35</v>
      </c>
      <c r="I117" s="6">
        <v>68.6941</v>
      </c>
      <c r="J117" s="6">
        <v>2.0</v>
      </c>
      <c r="K117" s="6">
        <v>36.42</v>
      </c>
      <c r="L117" s="6">
        <v>47.73</v>
      </c>
      <c r="M117" s="6">
        <v>3.7</v>
      </c>
      <c r="N117" s="6">
        <v>9.28</v>
      </c>
      <c r="O117" s="6">
        <v>0.9</v>
      </c>
      <c r="P117" s="6">
        <v>0.21</v>
      </c>
      <c r="Q117" s="6">
        <v>0.58</v>
      </c>
      <c r="R117" s="6">
        <v>0.05</v>
      </c>
      <c r="S117" s="6">
        <v>0.2</v>
      </c>
      <c r="T117" s="6">
        <v>0.03</v>
      </c>
      <c r="U117" s="6">
        <v>0.06</v>
      </c>
      <c r="V117" s="6">
        <v>0.01</v>
      </c>
      <c r="W117" s="6">
        <v>0.04</v>
      </c>
      <c r="X117" s="6">
        <v>0.01</v>
      </c>
      <c r="Y117" s="6">
        <v>0.79</v>
      </c>
      <c r="Z117" s="6">
        <v>1.7700000000000002</v>
      </c>
      <c r="AA117" s="6" t="s">
        <v>508</v>
      </c>
      <c r="AB117" s="7"/>
      <c r="AC117" s="7"/>
      <c r="AD117" s="7" t="s">
        <v>509</v>
      </c>
      <c r="AE117" s="7"/>
    </row>
    <row r="118" ht="13.5" customHeight="1">
      <c r="A118" s="6">
        <f t="shared" si="21"/>
        <v>116</v>
      </c>
      <c r="B118" s="6">
        <f t="shared" ref="B118:B148" si="26">B117+1</f>
        <v>94</v>
      </c>
      <c r="C118" s="6" t="s">
        <v>510</v>
      </c>
      <c r="D118" s="6" t="s">
        <v>511</v>
      </c>
      <c r="E118" s="6" t="s">
        <v>512</v>
      </c>
      <c r="F118" s="6" t="s">
        <v>42</v>
      </c>
      <c r="G118" s="6"/>
      <c r="H118" s="6" t="s">
        <v>105</v>
      </c>
      <c r="I118" s="6">
        <v>3.51</v>
      </c>
      <c r="J118" s="6">
        <v>2.3</v>
      </c>
      <c r="K118" s="6">
        <v>20.441298917568695</v>
      </c>
      <c r="L118" s="6">
        <v>46.62781015820151</v>
      </c>
      <c r="M118" s="6">
        <v>5.953372189841799</v>
      </c>
      <c r="N118" s="6">
        <v>20.566194837635308</v>
      </c>
      <c r="O118" s="6">
        <v>2.7060782681099087</v>
      </c>
      <c r="P118" s="6">
        <v>0.5412156536219818</v>
      </c>
      <c r="Q118" s="6">
        <v>1.2489592006661117</v>
      </c>
      <c r="R118" s="6">
        <v>0.12489592006661118</v>
      </c>
      <c r="S118" s="6">
        <v>0.3330557868442965</v>
      </c>
      <c r="T118" s="6">
        <v>0.0</v>
      </c>
      <c r="U118" s="6">
        <v>0.24979184013322236</v>
      </c>
      <c r="V118" s="6">
        <v>0.0</v>
      </c>
      <c r="W118" s="6">
        <v>0.04163197335553706</v>
      </c>
      <c r="X118" s="6">
        <v>0.0</v>
      </c>
      <c r="Y118" s="6">
        <v>1.1656952539550376</v>
      </c>
      <c r="Z118" s="6">
        <v>3.1640299750208163</v>
      </c>
      <c r="AA118" s="6" t="s">
        <v>59</v>
      </c>
      <c r="AB118" s="7"/>
      <c r="AC118" s="7" t="s">
        <v>513</v>
      </c>
      <c r="AD118" s="7" t="s">
        <v>514</v>
      </c>
      <c r="AE118" s="7"/>
    </row>
    <row r="119" ht="13.5" customHeight="1">
      <c r="A119" s="6">
        <f t="shared" si="21"/>
        <v>117</v>
      </c>
      <c r="B119" s="6">
        <f t="shared" si="26"/>
        <v>95</v>
      </c>
      <c r="C119" s="6" t="s">
        <v>515</v>
      </c>
      <c r="D119" s="6" t="s">
        <v>516</v>
      </c>
      <c r="E119" s="6" t="s">
        <v>517</v>
      </c>
      <c r="F119" s="6" t="s">
        <v>87</v>
      </c>
      <c r="G119" s="6"/>
      <c r="H119" s="6" t="s">
        <v>35</v>
      </c>
      <c r="I119" s="6">
        <v>20.23</v>
      </c>
      <c r="J119" s="6">
        <v>2.89</v>
      </c>
      <c r="K119" s="6">
        <v>20.35</v>
      </c>
      <c r="L119" s="6">
        <v>48.42</v>
      </c>
      <c r="M119" s="6">
        <v>4.5</v>
      </c>
      <c r="N119" s="6">
        <v>13.58</v>
      </c>
      <c r="O119" s="6">
        <v>1.76</v>
      </c>
      <c r="P119" s="6">
        <v>0.49</v>
      </c>
      <c r="Q119" s="6">
        <v>1.46</v>
      </c>
      <c r="R119" s="6">
        <v>0.2</v>
      </c>
      <c r="S119" s="6">
        <v>1.12</v>
      </c>
      <c r="T119" s="6">
        <v>0.18</v>
      </c>
      <c r="U119" s="6">
        <v>0.53</v>
      </c>
      <c r="V119" s="6">
        <v>0.07</v>
      </c>
      <c r="W119" s="6">
        <v>0.44</v>
      </c>
      <c r="X119" s="6">
        <v>0.06</v>
      </c>
      <c r="Y119" s="6">
        <v>6.83</v>
      </c>
      <c r="Z119" s="6">
        <v>10.89</v>
      </c>
      <c r="AA119" s="6" t="s">
        <v>518</v>
      </c>
      <c r="AB119" s="7" t="s">
        <v>519</v>
      </c>
      <c r="AC119" s="7"/>
      <c r="AD119" s="12" t="s">
        <v>520</v>
      </c>
      <c r="AE119" s="7"/>
    </row>
    <row r="120" ht="13.5" customHeight="1">
      <c r="A120" s="6">
        <f t="shared" si="21"/>
        <v>118</v>
      </c>
      <c r="B120" s="6">
        <f t="shared" si="26"/>
        <v>96</v>
      </c>
      <c r="C120" s="6" t="s">
        <v>414</v>
      </c>
      <c r="D120" s="6" t="s">
        <v>521</v>
      </c>
      <c r="E120" s="6" t="s">
        <v>517</v>
      </c>
      <c r="F120" s="6" t="s">
        <v>87</v>
      </c>
      <c r="G120" s="6"/>
      <c r="H120" s="6" t="s">
        <v>183</v>
      </c>
      <c r="I120" s="6">
        <v>2.0</v>
      </c>
      <c r="J120" s="6">
        <v>1.0</v>
      </c>
      <c r="K120" s="6">
        <v>3.34</v>
      </c>
      <c r="L120" s="6">
        <v>11.82</v>
      </c>
      <c r="M120" s="6">
        <v>1.51</v>
      </c>
      <c r="N120" s="6">
        <v>6.57</v>
      </c>
      <c r="O120" s="6">
        <v>1.85</v>
      </c>
      <c r="P120" s="6">
        <v>0.05</v>
      </c>
      <c r="Q120" s="6">
        <v>2.04</v>
      </c>
      <c r="R120" s="6">
        <v>0.93</v>
      </c>
      <c r="S120" s="6">
        <v>8.08</v>
      </c>
      <c r="T120" s="6">
        <v>2.03</v>
      </c>
      <c r="U120" s="6">
        <v>8.88</v>
      </c>
      <c r="V120" s="6">
        <v>2.12</v>
      </c>
      <c r="W120" s="6">
        <v>15.21</v>
      </c>
      <c r="X120" s="6">
        <v>2.16</v>
      </c>
      <c r="Y120" s="6">
        <v>33.41</v>
      </c>
      <c r="Z120" s="6">
        <v>74.86</v>
      </c>
      <c r="AA120" s="6" t="s">
        <v>522</v>
      </c>
      <c r="AB120" s="7" t="s">
        <v>519</v>
      </c>
      <c r="AC120" s="7"/>
      <c r="AD120" s="12" t="s">
        <v>523</v>
      </c>
      <c r="AE120" s="7"/>
    </row>
    <row r="121" ht="13.5" customHeight="1">
      <c r="A121" s="6">
        <f t="shared" si="21"/>
        <v>119</v>
      </c>
      <c r="B121" s="6">
        <f t="shared" si="26"/>
        <v>97</v>
      </c>
      <c r="C121" s="6" t="s">
        <v>414</v>
      </c>
      <c r="D121" s="6" t="s">
        <v>524</v>
      </c>
      <c r="E121" s="6" t="s">
        <v>525</v>
      </c>
      <c r="F121" s="6" t="s">
        <v>87</v>
      </c>
      <c r="G121" s="6"/>
      <c r="H121" s="6" t="s">
        <v>35</v>
      </c>
      <c r="I121" s="6">
        <v>654.5</v>
      </c>
      <c r="J121" s="6">
        <v>5.5</v>
      </c>
      <c r="K121" s="6">
        <v>34.42</v>
      </c>
      <c r="L121" s="6">
        <v>50.22</v>
      </c>
      <c r="M121" s="6">
        <v>3.69</v>
      </c>
      <c r="N121" s="6">
        <v>10.7</v>
      </c>
      <c r="O121" s="6">
        <v>0.45</v>
      </c>
      <c r="P121" s="6">
        <v>0.21</v>
      </c>
      <c r="Q121" s="6">
        <v>0.12</v>
      </c>
      <c r="R121" s="6">
        <v>0.0</v>
      </c>
      <c r="S121" s="6">
        <v>0.18</v>
      </c>
      <c r="T121" s="6">
        <v>0.0</v>
      </c>
      <c r="U121" s="6">
        <v>0.0</v>
      </c>
      <c r="V121" s="6">
        <v>0.0</v>
      </c>
      <c r="W121" s="6">
        <v>0.0</v>
      </c>
      <c r="X121" s="6">
        <v>0.0</v>
      </c>
      <c r="Y121" s="6">
        <v>0.0</v>
      </c>
      <c r="Z121" s="6">
        <v>0.3</v>
      </c>
      <c r="AA121" s="6" t="s">
        <v>526</v>
      </c>
      <c r="AB121" s="7" t="s">
        <v>519</v>
      </c>
      <c r="AC121" s="7"/>
      <c r="AD121" s="12" t="s">
        <v>527</v>
      </c>
      <c r="AE121" s="7"/>
    </row>
    <row r="122" ht="13.5" customHeight="1">
      <c r="A122" s="6">
        <f t="shared" si="21"/>
        <v>120</v>
      </c>
      <c r="B122" s="6">
        <f t="shared" si="26"/>
        <v>98</v>
      </c>
      <c r="C122" s="6" t="s">
        <v>414</v>
      </c>
      <c r="D122" s="6" t="s">
        <v>528</v>
      </c>
      <c r="E122" s="6" t="s">
        <v>525</v>
      </c>
      <c r="F122" s="6" t="s">
        <v>87</v>
      </c>
      <c r="G122" s="6"/>
      <c r="H122" s="6" t="s">
        <v>35</v>
      </c>
      <c r="I122" s="6">
        <v>24.5</v>
      </c>
      <c r="J122" s="6">
        <v>0.98</v>
      </c>
      <c r="K122" s="6"/>
      <c r="L122" s="6"/>
      <c r="M122" s="6"/>
      <c r="N122" s="6"/>
      <c r="O122" s="6"/>
      <c r="P122" s="6"/>
      <c r="Q122" s="6"/>
      <c r="R122" s="6"/>
      <c r="S122" s="6"/>
      <c r="T122" s="6"/>
      <c r="U122" s="6"/>
      <c r="V122" s="6"/>
      <c r="W122" s="6"/>
      <c r="X122" s="6"/>
      <c r="Y122" s="6"/>
      <c r="Z122" s="6"/>
      <c r="AA122" s="6"/>
      <c r="AB122" s="7" t="s">
        <v>519</v>
      </c>
      <c r="AC122" s="7"/>
      <c r="AD122" s="12" t="s">
        <v>529</v>
      </c>
      <c r="AE122" s="7"/>
    </row>
    <row r="123" ht="13.5" customHeight="1">
      <c r="A123" s="6">
        <f t="shared" si="21"/>
        <v>121</v>
      </c>
      <c r="B123" s="6">
        <f t="shared" si="26"/>
        <v>99</v>
      </c>
      <c r="C123" s="6" t="s">
        <v>414</v>
      </c>
      <c r="D123" s="6" t="s">
        <v>530</v>
      </c>
      <c r="E123" s="6" t="s">
        <v>531</v>
      </c>
      <c r="F123" s="6" t="s">
        <v>87</v>
      </c>
      <c r="G123" s="6"/>
      <c r="H123" s="6" t="s">
        <v>48</v>
      </c>
      <c r="I123" s="6"/>
      <c r="J123" s="6"/>
      <c r="K123" s="6"/>
      <c r="L123" s="6"/>
      <c r="M123" s="6"/>
      <c r="N123" s="6"/>
      <c r="O123" s="6"/>
      <c r="P123" s="6"/>
      <c r="Q123" s="6"/>
      <c r="R123" s="6"/>
      <c r="S123" s="6"/>
      <c r="T123" s="6"/>
      <c r="U123" s="6"/>
      <c r="V123" s="6"/>
      <c r="W123" s="6"/>
      <c r="X123" s="6"/>
      <c r="Y123" s="6"/>
      <c r="Z123" s="6"/>
      <c r="AA123" s="6"/>
      <c r="AB123" s="7" t="s">
        <v>519</v>
      </c>
      <c r="AC123" s="7"/>
      <c r="AD123" s="7"/>
      <c r="AE123" s="7"/>
    </row>
    <row r="124" ht="13.5" customHeight="1">
      <c r="A124" s="6">
        <f t="shared" si="21"/>
        <v>122</v>
      </c>
      <c r="B124" s="6">
        <f t="shared" si="26"/>
        <v>100</v>
      </c>
      <c r="C124" s="6" t="s">
        <v>414</v>
      </c>
      <c r="D124" s="6" t="s">
        <v>532</v>
      </c>
      <c r="E124" s="6" t="s">
        <v>533</v>
      </c>
      <c r="F124" s="6" t="s">
        <v>87</v>
      </c>
      <c r="G124" s="6"/>
      <c r="H124" s="6" t="s">
        <v>48</v>
      </c>
      <c r="I124" s="6"/>
      <c r="J124" s="6"/>
      <c r="K124" s="6"/>
      <c r="L124" s="6"/>
      <c r="M124" s="6"/>
      <c r="N124" s="6"/>
      <c r="O124" s="6"/>
      <c r="P124" s="6"/>
      <c r="Q124" s="6"/>
      <c r="R124" s="6"/>
      <c r="S124" s="6"/>
      <c r="T124" s="6"/>
      <c r="U124" s="6"/>
      <c r="V124" s="6"/>
      <c r="W124" s="6"/>
      <c r="X124" s="6"/>
      <c r="Y124" s="6"/>
      <c r="Z124" s="6"/>
      <c r="AA124" s="6"/>
      <c r="AB124" s="7" t="s">
        <v>519</v>
      </c>
      <c r="AC124" s="7"/>
      <c r="AD124" s="7"/>
      <c r="AE124" s="7"/>
    </row>
    <row r="125" ht="13.5" customHeight="1">
      <c r="A125" s="6">
        <f t="shared" si="21"/>
        <v>123</v>
      </c>
      <c r="B125" s="6">
        <f t="shared" si="26"/>
        <v>101</v>
      </c>
      <c r="C125" s="6" t="s">
        <v>534</v>
      </c>
      <c r="D125" s="6" t="s">
        <v>535</v>
      </c>
      <c r="E125" s="6" t="s">
        <v>536</v>
      </c>
      <c r="F125" s="6" t="s">
        <v>87</v>
      </c>
      <c r="G125" s="6" t="s">
        <v>537</v>
      </c>
      <c r="H125" s="6" t="s">
        <v>197</v>
      </c>
      <c r="I125" s="6">
        <v>5.4967</v>
      </c>
      <c r="J125" s="6">
        <v>0.2415</v>
      </c>
      <c r="K125" s="6">
        <v>11.6</v>
      </c>
      <c r="L125" s="6">
        <v>4.0</v>
      </c>
      <c r="M125" s="6">
        <v>2.9</v>
      </c>
      <c r="N125" s="6">
        <v>12.5</v>
      </c>
      <c r="O125" s="6">
        <v>2.6</v>
      </c>
      <c r="P125" s="6">
        <v>0.2</v>
      </c>
      <c r="Q125" s="6">
        <v>3.1</v>
      </c>
      <c r="R125" s="6">
        <v>0.7</v>
      </c>
      <c r="S125" s="6">
        <v>5.5</v>
      </c>
      <c r="T125" s="6">
        <v>1.3</v>
      </c>
      <c r="U125" s="6">
        <v>4.0</v>
      </c>
      <c r="V125" s="6">
        <v>0.5</v>
      </c>
      <c r="W125" s="6">
        <v>3.1</v>
      </c>
      <c r="X125" s="6">
        <v>0.5</v>
      </c>
      <c r="Y125" s="6">
        <v>47.4</v>
      </c>
      <c r="Z125" s="6">
        <v>66.1</v>
      </c>
      <c r="AA125" s="10" t="s">
        <v>538</v>
      </c>
      <c r="AB125" s="7" t="s">
        <v>539</v>
      </c>
      <c r="AC125" s="7" t="s">
        <v>539</v>
      </c>
      <c r="AD125" s="7" t="s">
        <v>538</v>
      </c>
      <c r="AE125" s="7"/>
    </row>
    <row r="126" ht="13.5" customHeight="1">
      <c r="A126" s="6">
        <f t="shared" si="21"/>
        <v>124</v>
      </c>
      <c r="B126" s="6">
        <f t="shared" si="26"/>
        <v>102</v>
      </c>
      <c r="C126" s="6" t="s">
        <v>540</v>
      </c>
      <c r="D126" s="6" t="s">
        <v>541</v>
      </c>
      <c r="E126" s="6" t="s">
        <v>542</v>
      </c>
      <c r="F126" s="6" t="s">
        <v>42</v>
      </c>
      <c r="G126" s="6">
        <v>1.0</v>
      </c>
      <c r="H126" s="6" t="s">
        <v>58</v>
      </c>
      <c r="I126" s="6"/>
      <c r="J126" s="6"/>
      <c r="K126" s="6"/>
      <c r="L126" s="6"/>
      <c r="M126" s="6"/>
      <c r="N126" s="6"/>
      <c r="O126" s="6"/>
      <c r="P126" s="6"/>
      <c r="Q126" s="6"/>
      <c r="R126" s="6"/>
      <c r="S126" s="6"/>
      <c r="T126" s="6"/>
      <c r="U126" s="6"/>
      <c r="V126" s="6"/>
      <c r="W126" s="6"/>
      <c r="X126" s="6"/>
      <c r="Y126" s="6"/>
      <c r="Z126" s="6"/>
      <c r="AA126" s="6"/>
      <c r="AB126" s="7" t="s">
        <v>543</v>
      </c>
      <c r="AC126" s="7" t="s">
        <v>543</v>
      </c>
      <c r="AD126" s="7"/>
      <c r="AE126" s="7"/>
    </row>
    <row r="127" ht="13.5" customHeight="1">
      <c r="A127" s="6">
        <f t="shared" si="21"/>
        <v>125</v>
      </c>
      <c r="B127" s="6">
        <f t="shared" si="26"/>
        <v>103</v>
      </c>
      <c r="C127" s="6" t="s">
        <v>544</v>
      </c>
      <c r="D127" s="6" t="s">
        <v>545</v>
      </c>
      <c r="E127" s="6" t="s">
        <v>546</v>
      </c>
      <c r="F127" s="6" t="s">
        <v>73</v>
      </c>
      <c r="G127" s="6">
        <v>1.0</v>
      </c>
      <c r="H127" s="6" t="s">
        <v>35</v>
      </c>
      <c r="I127" s="6"/>
      <c r="J127" s="6"/>
      <c r="K127" s="6"/>
      <c r="L127" s="6"/>
      <c r="M127" s="6"/>
      <c r="N127" s="6"/>
      <c r="O127" s="6"/>
      <c r="P127" s="6"/>
      <c r="Q127" s="6"/>
      <c r="R127" s="6"/>
      <c r="S127" s="6"/>
      <c r="T127" s="6"/>
      <c r="U127" s="6"/>
      <c r="V127" s="6"/>
      <c r="W127" s="6"/>
      <c r="X127" s="6"/>
      <c r="Y127" s="6"/>
      <c r="Z127" s="6"/>
      <c r="AA127" s="6"/>
      <c r="AB127" s="7" t="s">
        <v>547</v>
      </c>
      <c r="AC127" s="7" t="s">
        <v>547</v>
      </c>
      <c r="AD127" s="7"/>
      <c r="AE127" s="7"/>
    </row>
    <row r="128" ht="13.5" customHeight="1">
      <c r="A128" s="6">
        <f t="shared" si="21"/>
        <v>126</v>
      </c>
      <c r="B128" s="6">
        <f t="shared" si="26"/>
        <v>104</v>
      </c>
      <c r="C128" s="6" t="s">
        <v>548</v>
      </c>
      <c r="D128" s="6" t="s">
        <v>549</v>
      </c>
      <c r="E128" s="6" t="s">
        <v>550</v>
      </c>
      <c r="F128" s="6" t="s">
        <v>42</v>
      </c>
      <c r="G128" s="6">
        <v>1.0</v>
      </c>
      <c r="H128" s="6" t="s">
        <v>551</v>
      </c>
      <c r="I128" s="6"/>
      <c r="J128" s="6"/>
      <c r="K128" s="6"/>
      <c r="L128" s="6"/>
      <c r="M128" s="6"/>
      <c r="N128" s="6"/>
      <c r="O128" s="6"/>
      <c r="P128" s="6"/>
      <c r="Q128" s="6"/>
      <c r="R128" s="6"/>
      <c r="S128" s="6"/>
      <c r="T128" s="6"/>
      <c r="U128" s="6"/>
      <c r="V128" s="6"/>
      <c r="W128" s="6"/>
      <c r="X128" s="6"/>
      <c r="Y128" s="6"/>
      <c r="Z128" s="6"/>
      <c r="AA128" s="6"/>
      <c r="AB128" s="7" t="s">
        <v>552</v>
      </c>
      <c r="AC128" s="7" t="s">
        <v>552</v>
      </c>
      <c r="AD128" s="7"/>
      <c r="AE128" s="7"/>
    </row>
    <row r="129" ht="13.5" customHeight="1">
      <c r="A129" s="6">
        <f t="shared" si="21"/>
        <v>127</v>
      </c>
      <c r="B129" s="6">
        <f t="shared" si="26"/>
        <v>105</v>
      </c>
      <c r="D129" s="6" t="s">
        <v>553</v>
      </c>
      <c r="E129" s="6" t="s">
        <v>554</v>
      </c>
      <c r="F129" s="6" t="s">
        <v>42</v>
      </c>
      <c r="G129" s="6">
        <v>1.0</v>
      </c>
      <c r="H129" s="6" t="s">
        <v>555</v>
      </c>
      <c r="I129" s="6">
        <v>23.6082</v>
      </c>
      <c r="J129" s="6">
        <v>2.86</v>
      </c>
      <c r="K129" s="6"/>
      <c r="L129" s="6"/>
      <c r="M129" s="6"/>
      <c r="N129" s="6"/>
      <c r="O129" s="6"/>
      <c r="P129" s="6"/>
      <c r="Q129" s="6"/>
      <c r="R129" s="6"/>
      <c r="S129" s="6"/>
      <c r="T129" s="6"/>
      <c r="U129" s="6"/>
      <c r="V129" s="6"/>
      <c r="W129" s="6"/>
      <c r="X129" s="6"/>
      <c r="Y129" s="6"/>
      <c r="Z129" s="6"/>
      <c r="AA129" s="6"/>
      <c r="AB129" s="7" t="s">
        <v>552</v>
      </c>
      <c r="AC129" s="7" t="s">
        <v>552</v>
      </c>
      <c r="AD129" s="7" t="s">
        <v>556</v>
      </c>
      <c r="AE129" s="7"/>
    </row>
    <row r="130" ht="13.5" customHeight="1">
      <c r="A130" s="6">
        <f t="shared" si="21"/>
        <v>128</v>
      </c>
      <c r="B130" s="6">
        <f t="shared" si="26"/>
        <v>106</v>
      </c>
      <c r="C130" s="6" t="s">
        <v>557</v>
      </c>
      <c r="D130" s="6" t="s">
        <v>558</v>
      </c>
      <c r="E130" s="6" t="s">
        <v>559</v>
      </c>
      <c r="F130" s="6" t="s">
        <v>42</v>
      </c>
      <c r="G130" s="6">
        <v>1.0</v>
      </c>
      <c r="H130" s="6" t="s">
        <v>414</v>
      </c>
      <c r="I130" s="6"/>
      <c r="J130" s="6"/>
      <c r="K130" s="6"/>
      <c r="L130" s="6"/>
      <c r="M130" s="6"/>
      <c r="N130" s="6"/>
      <c r="O130" s="6"/>
      <c r="P130" s="6"/>
      <c r="Q130" s="6"/>
      <c r="R130" s="6"/>
      <c r="S130" s="6"/>
      <c r="T130" s="6"/>
      <c r="U130" s="6"/>
      <c r="V130" s="6"/>
      <c r="W130" s="6"/>
      <c r="X130" s="6"/>
      <c r="Y130" s="6"/>
      <c r="Z130" s="6"/>
      <c r="AA130" s="6"/>
      <c r="AB130" s="7" t="s">
        <v>552</v>
      </c>
      <c r="AC130" s="7" t="s">
        <v>552</v>
      </c>
      <c r="AD130" s="7"/>
      <c r="AE130" s="7"/>
    </row>
    <row r="131" ht="13.5" customHeight="1">
      <c r="A131" s="6">
        <f t="shared" si="21"/>
        <v>129</v>
      </c>
      <c r="B131" s="6">
        <f t="shared" si="26"/>
        <v>107</v>
      </c>
      <c r="D131" s="6" t="s">
        <v>560</v>
      </c>
      <c r="E131" s="6" t="s">
        <v>561</v>
      </c>
      <c r="F131" s="6" t="s">
        <v>42</v>
      </c>
      <c r="G131" s="6">
        <v>1.0</v>
      </c>
      <c r="H131" s="6" t="s">
        <v>414</v>
      </c>
      <c r="I131" s="6"/>
      <c r="J131" s="6"/>
      <c r="K131" s="6"/>
      <c r="L131" s="6"/>
      <c r="M131" s="6"/>
      <c r="N131" s="6"/>
      <c r="O131" s="6"/>
      <c r="P131" s="6"/>
      <c r="Q131" s="6"/>
      <c r="R131" s="6"/>
      <c r="S131" s="6"/>
      <c r="T131" s="6"/>
      <c r="U131" s="6"/>
      <c r="V131" s="6"/>
      <c r="W131" s="6"/>
      <c r="X131" s="6"/>
      <c r="Y131" s="6"/>
      <c r="Z131" s="6"/>
      <c r="AA131" s="6"/>
      <c r="AB131" s="7" t="s">
        <v>552</v>
      </c>
      <c r="AC131" s="7" t="s">
        <v>552</v>
      </c>
      <c r="AD131" s="7"/>
      <c r="AE131" s="7"/>
    </row>
    <row r="132" ht="13.5" customHeight="1">
      <c r="A132" s="6">
        <f t="shared" si="21"/>
        <v>130</v>
      </c>
      <c r="B132" s="6">
        <f t="shared" si="26"/>
        <v>108</v>
      </c>
      <c r="C132" s="6" t="s">
        <v>562</v>
      </c>
      <c r="D132" s="6" t="s">
        <v>563</v>
      </c>
      <c r="E132" s="6" t="s">
        <v>564</v>
      </c>
      <c r="F132" s="6" t="s">
        <v>73</v>
      </c>
      <c r="G132" s="6">
        <v>1.0</v>
      </c>
      <c r="H132" s="6" t="s">
        <v>35</v>
      </c>
      <c r="I132" s="6"/>
      <c r="J132" s="6"/>
      <c r="K132" s="6"/>
      <c r="L132" s="6"/>
      <c r="M132" s="6"/>
      <c r="N132" s="6"/>
      <c r="O132" s="6"/>
      <c r="P132" s="6"/>
      <c r="Q132" s="6"/>
      <c r="R132" s="6"/>
      <c r="S132" s="6"/>
      <c r="T132" s="6"/>
      <c r="U132" s="6"/>
      <c r="V132" s="6"/>
      <c r="W132" s="6"/>
      <c r="X132" s="6"/>
      <c r="Y132" s="6"/>
      <c r="Z132" s="6"/>
      <c r="AA132" s="6"/>
      <c r="AB132" s="7" t="s">
        <v>565</v>
      </c>
      <c r="AC132" s="7" t="s">
        <v>565</v>
      </c>
      <c r="AD132" s="7"/>
      <c r="AE132" s="7"/>
    </row>
    <row r="133" ht="13.5" customHeight="1">
      <c r="A133" s="6">
        <f t="shared" si="21"/>
        <v>131</v>
      </c>
      <c r="B133" s="6">
        <f t="shared" si="26"/>
        <v>109</v>
      </c>
      <c r="C133" s="6" t="s">
        <v>566</v>
      </c>
      <c r="D133" s="6" t="s">
        <v>567</v>
      </c>
      <c r="E133" s="6" t="s">
        <v>568</v>
      </c>
      <c r="F133" s="6" t="s">
        <v>34</v>
      </c>
      <c r="G133" s="6">
        <v>1.0</v>
      </c>
      <c r="H133" s="6" t="s">
        <v>197</v>
      </c>
      <c r="I133" s="6"/>
      <c r="J133" s="6"/>
      <c r="K133" s="6"/>
      <c r="L133" s="6"/>
      <c r="M133" s="6"/>
      <c r="N133" s="6"/>
      <c r="O133" s="6"/>
      <c r="P133" s="6"/>
      <c r="Q133" s="6"/>
      <c r="R133" s="6"/>
      <c r="S133" s="6"/>
      <c r="T133" s="6"/>
      <c r="U133" s="6"/>
      <c r="V133" s="6"/>
      <c r="W133" s="6"/>
      <c r="X133" s="6"/>
      <c r="Y133" s="6"/>
      <c r="Z133" s="6"/>
      <c r="AA133" s="6"/>
      <c r="AB133" s="7" t="s">
        <v>569</v>
      </c>
      <c r="AC133" s="7" t="s">
        <v>569</v>
      </c>
      <c r="AD133" s="7"/>
      <c r="AE133" s="7"/>
    </row>
    <row r="134" ht="13.5" customHeight="1">
      <c r="A134" s="6">
        <f t="shared" si="21"/>
        <v>132</v>
      </c>
      <c r="B134" s="6">
        <f t="shared" si="26"/>
        <v>110</v>
      </c>
      <c r="D134" s="6" t="s">
        <v>570</v>
      </c>
      <c r="E134" s="6" t="s">
        <v>571</v>
      </c>
      <c r="F134" s="6" t="s">
        <v>34</v>
      </c>
      <c r="G134" s="6">
        <v>1.0</v>
      </c>
      <c r="H134" s="6" t="s">
        <v>197</v>
      </c>
      <c r="I134" s="6"/>
      <c r="J134" s="6"/>
      <c r="K134" s="6"/>
      <c r="L134" s="6"/>
      <c r="M134" s="6"/>
      <c r="N134" s="6"/>
      <c r="O134" s="6"/>
      <c r="P134" s="6"/>
      <c r="Q134" s="6"/>
      <c r="R134" s="6"/>
      <c r="S134" s="6"/>
      <c r="T134" s="6"/>
      <c r="U134" s="6"/>
      <c r="V134" s="6"/>
      <c r="W134" s="6"/>
      <c r="X134" s="6"/>
      <c r="Y134" s="6"/>
      <c r="Z134" s="6"/>
      <c r="AA134" s="6"/>
      <c r="AB134" s="7" t="s">
        <v>569</v>
      </c>
      <c r="AC134" s="7" t="s">
        <v>569</v>
      </c>
      <c r="AD134" s="7"/>
      <c r="AE134" s="7"/>
    </row>
    <row r="135" ht="13.5" customHeight="1">
      <c r="A135" s="6">
        <f t="shared" si="21"/>
        <v>133</v>
      </c>
      <c r="B135" s="6">
        <f t="shared" si="26"/>
        <v>111</v>
      </c>
      <c r="C135" s="6" t="s">
        <v>572</v>
      </c>
      <c r="D135" s="6" t="s">
        <v>256</v>
      </c>
      <c r="E135" s="6" t="s">
        <v>241</v>
      </c>
      <c r="F135" s="6" t="s">
        <v>34</v>
      </c>
      <c r="G135" s="6">
        <v>1.0</v>
      </c>
      <c r="H135" s="6" t="s">
        <v>35</v>
      </c>
      <c r="I135" s="6"/>
      <c r="J135" s="6"/>
      <c r="K135" s="6"/>
      <c r="L135" s="6"/>
      <c r="M135" s="6"/>
      <c r="N135" s="6"/>
      <c r="O135" s="6"/>
      <c r="P135" s="6"/>
      <c r="Q135" s="6"/>
      <c r="R135" s="6"/>
      <c r="S135" s="6"/>
      <c r="T135" s="6"/>
      <c r="U135" s="6"/>
      <c r="V135" s="6"/>
      <c r="W135" s="6"/>
      <c r="X135" s="6"/>
      <c r="Y135" s="6"/>
      <c r="Z135" s="6"/>
      <c r="AA135" s="6"/>
      <c r="AB135" s="7" t="s">
        <v>573</v>
      </c>
      <c r="AC135" s="7" t="s">
        <v>573</v>
      </c>
      <c r="AD135" s="7"/>
      <c r="AE135" s="7"/>
    </row>
    <row r="136" ht="13.5" customHeight="1">
      <c r="A136" s="6">
        <f t="shared" si="21"/>
        <v>134</v>
      </c>
      <c r="B136" s="6">
        <f t="shared" si="26"/>
        <v>112</v>
      </c>
      <c r="C136" s="6" t="s">
        <v>574</v>
      </c>
      <c r="D136" s="6" t="s">
        <v>575</v>
      </c>
      <c r="E136" s="6" t="s">
        <v>576</v>
      </c>
      <c r="F136" s="6" t="s">
        <v>34</v>
      </c>
      <c r="G136" s="6">
        <v>1.0</v>
      </c>
      <c r="H136" s="6" t="s">
        <v>197</v>
      </c>
      <c r="I136" s="6"/>
      <c r="J136" s="6"/>
      <c r="K136" s="6"/>
      <c r="L136" s="6"/>
      <c r="M136" s="6"/>
      <c r="N136" s="6"/>
      <c r="O136" s="6"/>
      <c r="P136" s="6"/>
      <c r="Q136" s="6"/>
      <c r="R136" s="6"/>
      <c r="S136" s="6"/>
      <c r="T136" s="6"/>
      <c r="U136" s="6"/>
      <c r="V136" s="6"/>
      <c r="W136" s="6"/>
      <c r="X136" s="6"/>
      <c r="Y136" s="6"/>
      <c r="Z136" s="6"/>
      <c r="AA136" s="6"/>
      <c r="AB136" s="7" t="s">
        <v>577</v>
      </c>
      <c r="AC136" s="7" t="s">
        <v>577</v>
      </c>
      <c r="AD136" s="7"/>
      <c r="AE136" s="7"/>
    </row>
    <row r="137" ht="13.5" customHeight="1">
      <c r="A137" s="6">
        <f t="shared" si="21"/>
        <v>135</v>
      </c>
      <c r="B137" s="6">
        <f t="shared" si="26"/>
        <v>113</v>
      </c>
      <c r="C137" s="6" t="s">
        <v>578</v>
      </c>
      <c r="D137" s="6" t="s">
        <v>579</v>
      </c>
      <c r="E137" s="6" t="s">
        <v>580</v>
      </c>
      <c r="F137" s="6" t="s">
        <v>34</v>
      </c>
      <c r="G137" s="6">
        <v>1.0</v>
      </c>
      <c r="H137" s="6" t="s">
        <v>58</v>
      </c>
      <c r="I137" s="6">
        <v>3.4624</v>
      </c>
      <c r="J137" s="6">
        <v>0.0473</v>
      </c>
      <c r="K137" s="6"/>
      <c r="L137" s="6"/>
      <c r="M137" s="6"/>
      <c r="N137" s="6"/>
      <c r="O137" s="6"/>
      <c r="P137" s="6"/>
      <c r="Q137" s="6"/>
      <c r="R137" s="6"/>
      <c r="S137" s="6"/>
      <c r="T137" s="6"/>
      <c r="U137" s="6"/>
      <c r="V137" s="6"/>
      <c r="W137" s="6"/>
      <c r="X137" s="6"/>
      <c r="Y137" s="6"/>
      <c r="Z137" s="6"/>
      <c r="AA137" s="6"/>
      <c r="AB137" s="7" t="s">
        <v>581</v>
      </c>
      <c r="AC137" s="7" t="s">
        <v>581</v>
      </c>
      <c r="AD137" s="7" t="s">
        <v>582</v>
      </c>
      <c r="AE137" s="7"/>
    </row>
    <row r="138" ht="13.5" customHeight="1">
      <c r="A138" s="6">
        <f t="shared" si="21"/>
        <v>136</v>
      </c>
      <c r="B138" s="6">
        <f t="shared" si="26"/>
        <v>114</v>
      </c>
      <c r="C138" s="6" t="s">
        <v>583</v>
      </c>
      <c r="D138" s="6" t="s">
        <v>584</v>
      </c>
      <c r="E138" s="6" t="s">
        <v>497</v>
      </c>
      <c r="F138" s="6" t="s">
        <v>34</v>
      </c>
      <c r="G138" s="6">
        <v>1.0</v>
      </c>
      <c r="H138" s="6" t="s">
        <v>555</v>
      </c>
      <c r="I138" s="6"/>
      <c r="J138" s="6"/>
      <c r="K138" s="6"/>
      <c r="L138" s="6"/>
      <c r="M138" s="6"/>
      <c r="N138" s="6"/>
      <c r="O138" s="6"/>
      <c r="P138" s="6"/>
      <c r="Q138" s="6"/>
      <c r="R138" s="6"/>
      <c r="S138" s="6"/>
      <c r="T138" s="6"/>
      <c r="U138" s="6"/>
      <c r="V138" s="6"/>
      <c r="W138" s="6"/>
      <c r="X138" s="6"/>
      <c r="Y138" s="6"/>
      <c r="Z138" s="6"/>
      <c r="AA138" s="6"/>
      <c r="AB138" s="7" t="s">
        <v>585</v>
      </c>
      <c r="AC138" s="7" t="s">
        <v>585</v>
      </c>
      <c r="AD138" s="7"/>
      <c r="AE138" s="7"/>
    </row>
    <row r="139" ht="13.5" customHeight="1">
      <c r="A139" s="6">
        <f t="shared" si="21"/>
        <v>137</v>
      </c>
      <c r="B139" s="6">
        <f t="shared" si="26"/>
        <v>115</v>
      </c>
      <c r="C139" s="6" t="s">
        <v>586</v>
      </c>
      <c r="D139" s="6" t="s">
        <v>587</v>
      </c>
      <c r="E139" s="6" t="s">
        <v>497</v>
      </c>
      <c r="F139" s="6" t="s">
        <v>34</v>
      </c>
      <c r="G139" s="6">
        <v>1.0</v>
      </c>
      <c r="H139" s="6" t="s">
        <v>197</v>
      </c>
      <c r="I139" s="6"/>
      <c r="J139" s="6"/>
      <c r="K139" s="6"/>
      <c r="L139" s="6"/>
      <c r="M139" s="6"/>
      <c r="N139" s="6"/>
      <c r="O139" s="6"/>
      <c r="P139" s="6"/>
      <c r="Q139" s="6"/>
      <c r="R139" s="6"/>
      <c r="S139" s="6"/>
      <c r="T139" s="6"/>
      <c r="U139" s="6"/>
      <c r="V139" s="6"/>
      <c r="W139" s="6"/>
      <c r="X139" s="6"/>
      <c r="Y139" s="6"/>
      <c r="Z139" s="6"/>
      <c r="AA139" s="6"/>
      <c r="AB139" s="7" t="s">
        <v>588</v>
      </c>
      <c r="AC139" s="7" t="s">
        <v>588</v>
      </c>
      <c r="AD139" s="7"/>
      <c r="AE139" s="7"/>
    </row>
    <row r="140" ht="13.5" customHeight="1">
      <c r="A140" s="6">
        <f t="shared" si="21"/>
        <v>138</v>
      </c>
      <c r="B140" s="6">
        <f t="shared" si="26"/>
        <v>116</v>
      </c>
      <c r="C140" s="6" t="s">
        <v>589</v>
      </c>
      <c r="D140" s="6" t="s">
        <v>590</v>
      </c>
      <c r="E140" s="6" t="s">
        <v>568</v>
      </c>
      <c r="F140" s="6" t="s">
        <v>34</v>
      </c>
      <c r="G140" s="6">
        <v>1.0</v>
      </c>
      <c r="H140" s="6" t="s">
        <v>197</v>
      </c>
      <c r="I140" s="6"/>
      <c r="J140" s="6"/>
      <c r="K140" s="6"/>
      <c r="L140" s="6"/>
      <c r="M140" s="6"/>
      <c r="N140" s="6"/>
      <c r="O140" s="6"/>
      <c r="P140" s="6"/>
      <c r="Q140" s="6"/>
      <c r="R140" s="6"/>
      <c r="S140" s="6"/>
      <c r="T140" s="6"/>
      <c r="U140" s="6"/>
      <c r="V140" s="6"/>
      <c r="W140" s="6"/>
      <c r="X140" s="6"/>
      <c r="Y140" s="6"/>
      <c r="Z140" s="6"/>
      <c r="AA140" s="6"/>
      <c r="AB140" s="7" t="s">
        <v>591</v>
      </c>
      <c r="AC140" s="7" t="s">
        <v>591</v>
      </c>
      <c r="AD140" s="7"/>
      <c r="AE140" s="7"/>
    </row>
    <row r="141" ht="13.5" customHeight="1">
      <c r="A141" s="6">
        <f t="shared" si="21"/>
        <v>139</v>
      </c>
      <c r="B141" s="6">
        <f t="shared" si="26"/>
        <v>117</v>
      </c>
      <c r="C141" s="6" t="s">
        <v>592</v>
      </c>
      <c r="D141" s="6" t="s">
        <v>593</v>
      </c>
      <c r="E141" s="6" t="s">
        <v>594</v>
      </c>
      <c r="F141" s="6" t="s">
        <v>117</v>
      </c>
      <c r="G141" s="6">
        <v>1.0</v>
      </c>
      <c r="H141" s="6" t="s">
        <v>35</v>
      </c>
      <c r="I141" s="6">
        <v>13.2884</v>
      </c>
      <c r="J141" s="6">
        <v>2.78</v>
      </c>
      <c r="K141" s="6"/>
      <c r="L141" s="6"/>
      <c r="M141" s="6"/>
      <c r="N141" s="6"/>
      <c r="O141" s="6"/>
      <c r="P141" s="6"/>
      <c r="Q141" s="6"/>
      <c r="R141" s="6"/>
      <c r="S141" s="6"/>
      <c r="T141" s="6"/>
      <c r="U141" s="6"/>
      <c r="V141" s="6"/>
      <c r="W141" s="6"/>
      <c r="X141" s="6"/>
      <c r="Y141" s="6"/>
      <c r="Z141" s="6"/>
      <c r="AA141" s="6"/>
      <c r="AB141" s="7" t="s">
        <v>595</v>
      </c>
      <c r="AC141" s="7" t="s">
        <v>595</v>
      </c>
      <c r="AD141" s="7" t="s">
        <v>596</v>
      </c>
      <c r="AE141" s="7"/>
    </row>
    <row r="142" ht="43.5" customHeight="1">
      <c r="A142" s="6">
        <f t="shared" si="21"/>
        <v>140</v>
      </c>
      <c r="B142" s="6">
        <f t="shared" si="26"/>
        <v>118</v>
      </c>
      <c r="C142" s="6" t="s">
        <v>432</v>
      </c>
      <c r="D142" s="6" t="s">
        <v>597</v>
      </c>
      <c r="E142" s="6" t="s">
        <v>598</v>
      </c>
      <c r="F142" s="6" t="s">
        <v>117</v>
      </c>
      <c r="G142" s="6">
        <v>4.0</v>
      </c>
      <c r="H142" s="6" t="s">
        <v>35</v>
      </c>
      <c r="I142" s="6">
        <v>10000.0</v>
      </c>
      <c r="J142" s="6">
        <v>5.6</v>
      </c>
      <c r="K142" s="6">
        <v>25.0</v>
      </c>
      <c r="L142" s="6">
        <v>50.07</v>
      </c>
      <c r="M142" s="6">
        <v>5.1</v>
      </c>
      <c r="N142" s="6">
        <v>16.6</v>
      </c>
      <c r="O142" s="6">
        <v>1.2</v>
      </c>
      <c r="P142" s="6">
        <v>0.18</v>
      </c>
      <c r="Q142" s="6">
        <v>0.7</v>
      </c>
      <c r="R142" s="6">
        <v>0.0</v>
      </c>
      <c r="S142" s="6">
        <v>0.0</v>
      </c>
      <c r="T142" s="6">
        <v>0.0</v>
      </c>
      <c r="U142" s="6">
        <v>0.0</v>
      </c>
      <c r="V142" s="6">
        <v>0.0</v>
      </c>
      <c r="W142" s="6">
        <v>0.0</v>
      </c>
      <c r="X142" s="6">
        <v>0.0</v>
      </c>
      <c r="Y142" s="6">
        <v>0.43</v>
      </c>
      <c r="Z142" s="6">
        <v>1.13</v>
      </c>
      <c r="AA142" s="6" t="s">
        <v>432</v>
      </c>
      <c r="AB142" s="7" t="s">
        <v>599</v>
      </c>
      <c r="AC142" s="7" t="s">
        <v>599</v>
      </c>
      <c r="AD142" s="7" t="s">
        <v>599</v>
      </c>
      <c r="AE142" s="7"/>
    </row>
    <row r="143" ht="14.25" customHeight="1">
      <c r="A143" s="6">
        <f t="shared" si="21"/>
        <v>141</v>
      </c>
      <c r="B143" s="6">
        <f t="shared" si="26"/>
        <v>119</v>
      </c>
      <c r="C143" s="6" t="s">
        <v>600</v>
      </c>
      <c r="D143" s="6" t="s">
        <v>601</v>
      </c>
      <c r="E143" s="6" t="s">
        <v>598</v>
      </c>
      <c r="F143" s="6" t="s">
        <v>117</v>
      </c>
      <c r="G143" s="6">
        <v>4.0</v>
      </c>
      <c r="H143" s="6" t="s">
        <v>602</v>
      </c>
      <c r="I143" s="6">
        <v>44.0</v>
      </c>
      <c r="J143" s="6">
        <v>4.6</v>
      </c>
      <c r="K143" s="6">
        <v>35.46</v>
      </c>
      <c r="L143" s="6">
        <v>47.76</v>
      </c>
      <c r="M143" s="6">
        <v>3.95</v>
      </c>
      <c r="N143" s="6">
        <v>10.9</v>
      </c>
      <c r="O143" s="6">
        <v>0.79</v>
      </c>
      <c r="P143" s="6">
        <v>0.13</v>
      </c>
      <c r="Q143" s="6">
        <v>0.53</v>
      </c>
      <c r="R143" s="6">
        <v>0.14</v>
      </c>
      <c r="S143" s="6" t="s">
        <v>603</v>
      </c>
      <c r="T143" s="6" t="s">
        <v>603</v>
      </c>
      <c r="U143" s="6" t="s">
        <v>603</v>
      </c>
      <c r="V143" s="6" t="s">
        <v>603</v>
      </c>
      <c r="W143" s="6">
        <v>0.03</v>
      </c>
      <c r="X143" s="6" t="s">
        <v>603</v>
      </c>
      <c r="Y143" s="6">
        <v>0.76</v>
      </c>
      <c r="Z143" s="6">
        <v>1.46</v>
      </c>
      <c r="AA143" s="6" t="s">
        <v>432</v>
      </c>
      <c r="AB143" s="7" t="s">
        <v>604</v>
      </c>
      <c r="AC143" s="7" t="s">
        <v>604</v>
      </c>
      <c r="AD143" s="7" t="s">
        <v>604</v>
      </c>
      <c r="AE143" s="7"/>
    </row>
    <row r="144" ht="15.0" customHeight="1">
      <c r="A144" s="6">
        <f t="shared" si="21"/>
        <v>142</v>
      </c>
      <c r="B144" s="6">
        <f t="shared" si="26"/>
        <v>120</v>
      </c>
      <c r="D144" s="6" t="s">
        <v>605</v>
      </c>
      <c r="E144" s="6" t="s">
        <v>598</v>
      </c>
      <c r="F144" s="6" t="s">
        <v>117</v>
      </c>
      <c r="G144" s="6">
        <v>4.0</v>
      </c>
      <c r="H144" s="6" t="s">
        <v>35</v>
      </c>
      <c r="I144" s="6">
        <v>8.2</v>
      </c>
      <c r="J144" s="6">
        <v>5.21</v>
      </c>
      <c r="K144" s="6">
        <v>25.06069179097053</v>
      </c>
      <c r="L144" s="6">
        <v>41.819381106985254</v>
      </c>
      <c r="M144" s="6">
        <v>4.384718737950907</v>
      </c>
      <c r="N144" s="6">
        <v>14.333672100578502</v>
      </c>
      <c r="O144" s="6">
        <v>2.399292015473536</v>
      </c>
      <c r="P144" s="6">
        <v>0.7156706868486695</v>
      </c>
      <c r="Q144" s="6">
        <v>1.7847968028536922</v>
      </c>
      <c r="R144" s="6">
        <v>0.24064253445103675</v>
      </c>
      <c r="S144" s="6">
        <v>1.0689808845724036</v>
      </c>
      <c r="T144" s="6">
        <v>0.18552043006804408</v>
      </c>
      <c r="U144" s="6">
        <v>0.5416053281870753</v>
      </c>
      <c r="V144" s="6">
        <v>0.0687030612046959</v>
      </c>
      <c r="W144" s="6">
        <v>0.4335731389085793</v>
      </c>
      <c r="X144" s="6">
        <v>0.06238889826391096</v>
      </c>
      <c r="Y144" s="6">
        <v>6.900362482683164</v>
      </c>
      <c r="Z144" s="6">
        <v>11.2865735611926</v>
      </c>
      <c r="AA144" s="6" t="s">
        <v>606</v>
      </c>
      <c r="AB144" s="7" t="s">
        <v>604</v>
      </c>
      <c r="AC144" s="7" t="s">
        <v>604</v>
      </c>
      <c r="AD144" s="7" t="s">
        <v>604</v>
      </c>
      <c r="AE144" s="7"/>
    </row>
    <row r="145" ht="40.5" customHeight="1">
      <c r="A145" s="6">
        <f t="shared" si="21"/>
        <v>143</v>
      </c>
      <c r="B145" s="6">
        <f t="shared" si="26"/>
        <v>121</v>
      </c>
      <c r="D145" s="6" t="s">
        <v>607</v>
      </c>
      <c r="E145" s="6" t="s">
        <v>598</v>
      </c>
      <c r="F145" s="6" t="s">
        <v>117</v>
      </c>
      <c r="G145" s="6">
        <v>4.0</v>
      </c>
      <c r="H145" s="6" t="s">
        <v>35</v>
      </c>
      <c r="I145" s="6">
        <v>13.3</v>
      </c>
      <c r="J145" s="6">
        <v>2.4</v>
      </c>
      <c r="K145" s="6">
        <v>37.34</v>
      </c>
      <c r="L145" s="6">
        <v>46.88</v>
      </c>
      <c r="M145" s="6">
        <v>3.96</v>
      </c>
      <c r="N145" s="6">
        <v>10.24</v>
      </c>
      <c r="O145" s="6">
        <v>0.81</v>
      </c>
      <c r="P145" s="6">
        <v>0.1</v>
      </c>
      <c r="Q145" s="6">
        <v>0.3</v>
      </c>
      <c r="R145" s="6">
        <v>0.04</v>
      </c>
      <c r="S145" s="6">
        <v>0.08</v>
      </c>
      <c r="T145" s="6">
        <v>0.02</v>
      </c>
      <c r="U145" s="6">
        <v>0.05</v>
      </c>
      <c r="V145" s="6">
        <v>0.01</v>
      </c>
      <c r="W145" s="6">
        <v>0.01</v>
      </c>
      <c r="X145" s="6">
        <v>0.0</v>
      </c>
      <c r="Y145" s="6">
        <v>0.18</v>
      </c>
      <c r="Z145" s="6">
        <v>0.69</v>
      </c>
      <c r="AA145" s="6" t="s">
        <v>432</v>
      </c>
      <c r="AB145" s="7" t="s">
        <v>608</v>
      </c>
      <c r="AC145" s="7" t="s">
        <v>608</v>
      </c>
      <c r="AD145" s="7" t="s">
        <v>608</v>
      </c>
      <c r="AE145" s="7"/>
    </row>
    <row r="146" ht="27.75" customHeight="1">
      <c r="A146" s="6">
        <f t="shared" si="21"/>
        <v>144</v>
      </c>
      <c r="B146" s="6">
        <f t="shared" si="26"/>
        <v>122</v>
      </c>
      <c r="D146" s="6" t="s">
        <v>609</v>
      </c>
      <c r="E146" s="6" t="s">
        <v>598</v>
      </c>
      <c r="F146" s="6" t="s">
        <v>117</v>
      </c>
      <c r="G146" s="6">
        <v>4.0</v>
      </c>
      <c r="H146" s="6" t="s">
        <v>35</v>
      </c>
      <c r="I146" s="6">
        <v>317.0</v>
      </c>
      <c r="J146" s="6">
        <v>2.95</v>
      </c>
      <c r="K146" s="6">
        <v>20.639824488589895</v>
      </c>
      <c r="L146" s="6">
        <v>43.946930685560005</v>
      </c>
      <c r="M146" s="6">
        <v>4.384400359311221</v>
      </c>
      <c r="N146" s="6">
        <v>16.589278462010558</v>
      </c>
      <c r="O146" s="6">
        <v>2.657195483779321</v>
      </c>
      <c r="P146" s="6">
        <v>0.6803333268474708</v>
      </c>
      <c r="Q146" s="6">
        <v>2.0940049803318286</v>
      </c>
      <c r="R146" s="6">
        <v>0.24429328785933146</v>
      </c>
      <c r="S146" s="6">
        <v>1.0907185721387738</v>
      </c>
      <c r="T146" s="6">
        <v>0.20031178824960666</v>
      </c>
      <c r="U146" s="6">
        <v>0.6014858505710897</v>
      </c>
      <c r="V146" s="6">
        <v>0.08031295766895216</v>
      </c>
      <c r="W146" s="6">
        <v>0.4375389085932259</v>
      </c>
      <c r="X146" s="6">
        <v>0.06447812224136217</v>
      </c>
      <c r="Y146" s="6">
        <v>6.288892726247343</v>
      </c>
      <c r="Z146" s="6">
        <v>11.102037193901513</v>
      </c>
      <c r="AA146" s="6" t="s">
        <v>432</v>
      </c>
      <c r="AB146" s="7" t="s">
        <v>604</v>
      </c>
      <c r="AC146" s="7" t="s">
        <v>604</v>
      </c>
      <c r="AD146" s="7" t="s">
        <v>604</v>
      </c>
      <c r="AE146" s="7"/>
    </row>
    <row r="147" ht="36.0" customHeight="1">
      <c r="A147" s="6">
        <f t="shared" si="21"/>
        <v>145</v>
      </c>
      <c r="B147" s="6">
        <f t="shared" si="26"/>
        <v>123</v>
      </c>
      <c r="D147" s="6" t="s">
        <v>610</v>
      </c>
      <c r="E147" s="6" t="s">
        <v>598</v>
      </c>
      <c r="F147" s="6" t="s">
        <v>117</v>
      </c>
      <c r="G147" s="6">
        <v>4.0</v>
      </c>
      <c r="H147" s="6" t="s">
        <v>35</v>
      </c>
      <c r="I147" s="6">
        <v>10.0</v>
      </c>
      <c r="J147" s="6">
        <v>3.97</v>
      </c>
      <c r="K147" s="6">
        <v>26.264902473264158</v>
      </c>
      <c r="L147" s="6">
        <v>45.05929120184406</v>
      </c>
      <c r="M147" s="6">
        <v>4.68919836602195</v>
      </c>
      <c r="N147" s="6">
        <v>15.487426693329462</v>
      </c>
      <c r="O147" s="6">
        <v>2.2231159627630275</v>
      </c>
      <c r="P147" s="6">
        <v>0.5181310261402852</v>
      </c>
      <c r="Q147" s="6">
        <v>1.3099405133201338</v>
      </c>
      <c r="R147" s="6">
        <v>0.15400408402389884</v>
      </c>
      <c r="S147" s="6">
        <v>0.641510269803308</v>
      </c>
      <c r="T147" s="6">
        <v>0.09857978340034872</v>
      </c>
      <c r="U147" s="6">
        <v>0.238224500320445</v>
      </c>
      <c r="V147" s="6">
        <v>0.03730371714681181</v>
      </c>
      <c r="W147" s="6">
        <v>0.2284923289912192</v>
      </c>
      <c r="X147" s="6">
        <v>0.031004164332624595</v>
      </c>
      <c r="Y147" s="6">
        <v>3.0188749152982353</v>
      </c>
      <c r="Z147" s="6">
        <v>5.757934276637025</v>
      </c>
      <c r="AA147" s="6" t="s">
        <v>611</v>
      </c>
      <c r="AB147" s="7" t="s">
        <v>604</v>
      </c>
      <c r="AC147" s="7" t="s">
        <v>604</v>
      </c>
      <c r="AD147" s="7" t="s">
        <v>604</v>
      </c>
      <c r="AE147" s="7"/>
    </row>
    <row r="148" ht="42.0" customHeight="1">
      <c r="A148" s="6">
        <f t="shared" si="21"/>
        <v>146</v>
      </c>
      <c r="B148" s="6">
        <f t="shared" si="26"/>
        <v>124</v>
      </c>
      <c r="D148" s="6" t="s">
        <v>612</v>
      </c>
      <c r="E148" s="6" t="s">
        <v>598</v>
      </c>
      <c r="F148" s="6" t="s">
        <v>117</v>
      </c>
      <c r="G148" s="6">
        <v>4.0</v>
      </c>
      <c r="H148" s="6" t="s">
        <v>613</v>
      </c>
      <c r="I148" s="6">
        <v>840.0</v>
      </c>
      <c r="J148" s="6">
        <v>0.02</v>
      </c>
      <c r="K148" s="6">
        <v>18.53</v>
      </c>
      <c r="L148" s="6">
        <v>3.61</v>
      </c>
      <c r="M148" s="6">
        <v>4.4</v>
      </c>
      <c r="N148" s="6">
        <v>17.64</v>
      </c>
      <c r="O148" s="6">
        <v>4.17</v>
      </c>
      <c r="P148" s="6">
        <v>0.56</v>
      </c>
      <c r="Q148" s="6">
        <v>5.0</v>
      </c>
      <c r="R148" s="6">
        <v>0.83</v>
      </c>
      <c r="S148" s="6">
        <v>4.72</v>
      </c>
      <c r="T148" s="6">
        <v>0.83</v>
      </c>
      <c r="U148" s="6">
        <v>2.5</v>
      </c>
      <c r="V148" s="6">
        <v>0.42</v>
      </c>
      <c r="W148" s="6">
        <v>1.81</v>
      </c>
      <c r="X148" s="6">
        <v>0.14</v>
      </c>
      <c r="Y148" s="6">
        <v>34.84</v>
      </c>
      <c r="Z148" s="6">
        <v>51.09</v>
      </c>
      <c r="AA148" s="8"/>
      <c r="AB148" s="8" t="s">
        <v>614</v>
      </c>
      <c r="AC148" s="7" t="s">
        <v>614</v>
      </c>
      <c r="AD148" s="8" t="s">
        <v>615</v>
      </c>
      <c r="AE148" s="7"/>
    </row>
    <row r="149" ht="13.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8"/>
      <c r="AC149" s="7"/>
      <c r="AD149" s="8"/>
      <c r="AE149" s="7"/>
    </row>
    <row r="150" ht="13.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8"/>
      <c r="AC150" s="7"/>
      <c r="AD150" s="8"/>
      <c r="AE150" s="7"/>
    </row>
    <row r="151" ht="13.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8"/>
      <c r="AC151" s="7"/>
      <c r="AD151" s="8"/>
      <c r="AE151" s="7"/>
    </row>
    <row r="152" ht="13.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8"/>
      <c r="AC152" s="7"/>
      <c r="AD152" s="8"/>
      <c r="AE152" s="7"/>
    </row>
    <row r="153" ht="13.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8"/>
      <c r="AC153" s="7"/>
      <c r="AD153" s="8"/>
      <c r="AE153" s="7"/>
    </row>
    <row r="154" ht="13.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8"/>
      <c r="AC154" s="7"/>
      <c r="AD154" s="8"/>
      <c r="AE154" s="7"/>
    </row>
    <row r="155" ht="13.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8"/>
      <c r="AC155" s="7"/>
      <c r="AD155" s="8"/>
      <c r="AE155" s="7"/>
    </row>
    <row r="156" ht="13.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8"/>
      <c r="AC156" s="7"/>
      <c r="AD156" s="8"/>
      <c r="AE156" s="7"/>
    </row>
    <row r="157" ht="13.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8"/>
      <c r="AC157" s="7"/>
      <c r="AD157" s="8"/>
      <c r="AE157" s="7"/>
    </row>
    <row r="158" ht="13.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8"/>
      <c r="AC158" s="7"/>
      <c r="AD158" s="8"/>
      <c r="AE158" s="7"/>
    </row>
    <row r="159" ht="13.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8"/>
      <c r="AC159" s="7"/>
      <c r="AD159" s="8"/>
      <c r="AE159" s="7"/>
    </row>
    <row r="160" ht="13.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8"/>
      <c r="AC160" s="7"/>
      <c r="AD160" s="8"/>
      <c r="AE160" s="7"/>
    </row>
    <row r="161" ht="13.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8"/>
      <c r="AC161" s="7"/>
      <c r="AD161" s="8"/>
      <c r="AE161" s="7"/>
    </row>
    <row r="162" ht="13.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8"/>
      <c r="AC162" s="7"/>
      <c r="AD162" s="8"/>
      <c r="AE162" s="7"/>
    </row>
    <row r="163" ht="13.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8"/>
      <c r="AC163" s="7"/>
      <c r="AD163" s="8"/>
      <c r="AE163" s="7"/>
    </row>
    <row r="164" ht="13.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8"/>
      <c r="AC164" s="7"/>
      <c r="AD164" s="8"/>
      <c r="AE164" s="7"/>
    </row>
    <row r="165" ht="13.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8"/>
      <c r="AC165" s="7"/>
      <c r="AD165" s="8"/>
      <c r="AE165" s="7"/>
    </row>
    <row r="166" ht="13.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8"/>
      <c r="AC166" s="7"/>
      <c r="AD166" s="8"/>
      <c r="AE166" s="7"/>
    </row>
    <row r="167" ht="13.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8"/>
      <c r="AC167" s="7"/>
      <c r="AD167" s="8"/>
      <c r="AE167" s="7"/>
    </row>
    <row r="168" ht="13.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8"/>
      <c r="AC168" s="7"/>
      <c r="AD168" s="8"/>
      <c r="AE168" s="7"/>
    </row>
    <row r="169" ht="13.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8"/>
      <c r="AC169" s="7"/>
      <c r="AD169" s="8"/>
      <c r="AE169" s="7"/>
    </row>
    <row r="170" ht="13.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8"/>
      <c r="AC170" s="7"/>
      <c r="AD170" s="8"/>
      <c r="AE170" s="7"/>
    </row>
    <row r="171" ht="13.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8"/>
      <c r="AC171" s="7"/>
      <c r="AD171" s="8"/>
      <c r="AE171" s="7"/>
    </row>
    <row r="172" ht="13.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8"/>
      <c r="AC172" s="7"/>
      <c r="AD172" s="8"/>
      <c r="AE172" s="7"/>
    </row>
    <row r="173" ht="13.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8"/>
      <c r="AC173" s="7"/>
      <c r="AD173" s="8"/>
      <c r="AE173" s="7"/>
    </row>
    <row r="174" ht="13.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8"/>
      <c r="AC174" s="7"/>
      <c r="AD174" s="8"/>
      <c r="AE174" s="7"/>
    </row>
    <row r="175" ht="13.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8"/>
      <c r="AC175" s="7"/>
      <c r="AD175" s="8"/>
      <c r="AE175" s="7"/>
    </row>
    <row r="176" ht="13.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8"/>
      <c r="AC176" s="7"/>
      <c r="AD176" s="8"/>
      <c r="AE176" s="7"/>
    </row>
    <row r="177" ht="13.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8"/>
      <c r="AC177" s="7"/>
      <c r="AD177" s="8"/>
      <c r="AE177" s="7"/>
    </row>
    <row r="178" ht="13.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8"/>
      <c r="AC178" s="7"/>
      <c r="AD178" s="8"/>
      <c r="AE178" s="7"/>
    </row>
    <row r="179" ht="13.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8"/>
      <c r="AC179" s="7"/>
      <c r="AD179" s="8"/>
      <c r="AE179" s="7"/>
    </row>
    <row r="180" ht="13.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8"/>
      <c r="AC180" s="7"/>
      <c r="AD180" s="8"/>
      <c r="AE180" s="7"/>
    </row>
    <row r="181" ht="13.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8"/>
      <c r="AC181" s="7"/>
      <c r="AD181" s="8"/>
      <c r="AE181" s="7"/>
    </row>
    <row r="182"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8"/>
      <c r="AC182" s="7"/>
      <c r="AD182" s="8"/>
      <c r="AE182" s="7"/>
    </row>
    <row r="183" ht="13.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8"/>
      <c r="AC183" s="7"/>
      <c r="AD183" s="8"/>
      <c r="AE183" s="7"/>
    </row>
    <row r="184" ht="13.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8"/>
      <c r="AC184" s="7"/>
      <c r="AD184" s="8"/>
      <c r="AE184" s="7"/>
    </row>
    <row r="185" ht="13.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8"/>
      <c r="AC185" s="7"/>
      <c r="AD185" s="8"/>
      <c r="AE185" s="7"/>
    </row>
    <row r="186" ht="13.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8"/>
      <c r="AC186" s="7"/>
      <c r="AD186" s="8"/>
      <c r="AE186" s="7"/>
    </row>
    <row r="187" ht="13.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8"/>
      <c r="AC187" s="7"/>
      <c r="AD187" s="8"/>
      <c r="AE187" s="7"/>
    </row>
    <row r="188" ht="13.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8"/>
      <c r="AC188" s="7"/>
      <c r="AD188" s="8"/>
      <c r="AE188" s="7"/>
    </row>
    <row r="189" ht="13.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8"/>
      <c r="AC189" s="7"/>
      <c r="AD189" s="8"/>
      <c r="AE189" s="7"/>
    </row>
    <row r="190" ht="13.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8"/>
      <c r="AC190" s="7"/>
      <c r="AD190" s="8"/>
      <c r="AE190" s="7"/>
    </row>
    <row r="191" ht="13.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8"/>
      <c r="AC191" s="7"/>
      <c r="AD191" s="8"/>
      <c r="AE191" s="7"/>
    </row>
    <row r="192" ht="13.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8"/>
      <c r="AC192" s="7"/>
      <c r="AD192" s="8"/>
      <c r="AE192" s="7"/>
    </row>
    <row r="193" ht="13.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8"/>
      <c r="AC193" s="7"/>
      <c r="AD193" s="8"/>
      <c r="AE193" s="7"/>
    </row>
    <row r="194" ht="13.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8"/>
      <c r="AC194" s="7"/>
      <c r="AD194" s="8"/>
      <c r="AE194" s="7"/>
    </row>
    <row r="195" ht="13.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8"/>
      <c r="AC195" s="7"/>
      <c r="AD195" s="8"/>
      <c r="AE195" s="7"/>
    </row>
    <row r="196" ht="13.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8"/>
      <c r="AC196" s="7"/>
      <c r="AD196" s="8"/>
      <c r="AE196" s="7"/>
    </row>
    <row r="197" ht="13.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8"/>
      <c r="AC197" s="7"/>
      <c r="AD197" s="8"/>
      <c r="AE197" s="7"/>
    </row>
    <row r="198" ht="13.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8"/>
      <c r="AC198" s="7"/>
      <c r="AD198" s="8"/>
      <c r="AE198" s="7"/>
    </row>
    <row r="199" ht="13.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8"/>
      <c r="AC199" s="7"/>
      <c r="AD199" s="8"/>
      <c r="AE199" s="7"/>
    </row>
    <row r="200" ht="13.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8"/>
      <c r="AC200" s="7"/>
      <c r="AD200" s="8"/>
      <c r="AE200" s="7"/>
    </row>
    <row r="201" ht="13.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8"/>
      <c r="AC201" s="7"/>
      <c r="AD201" s="8"/>
      <c r="AE201" s="7"/>
    </row>
    <row r="202" ht="13.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8"/>
      <c r="AC202" s="7"/>
      <c r="AD202" s="8"/>
      <c r="AE202" s="7"/>
    </row>
    <row r="203" ht="13.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8"/>
      <c r="AC203" s="7"/>
      <c r="AD203" s="8"/>
      <c r="AE203" s="7"/>
    </row>
    <row r="204" ht="13.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8"/>
      <c r="AC204" s="7"/>
      <c r="AD204" s="8"/>
      <c r="AE204" s="7"/>
    </row>
    <row r="205" ht="13.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8"/>
      <c r="AC205" s="7"/>
      <c r="AD205" s="8"/>
      <c r="AE205" s="7"/>
    </row>
    <row r="206" ht="13.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8"/>
      <c r="AC206" s="7"/>
      <c r="AD206" s="8"/>
      <c r="AE206" s="7"/>
    </row>
    <row r="207" ht="13.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8"/>
      <c r="AC207" s="7"/>
      <c r="AD207" s="8"/>
      <c r="AE207" s="7"/>
    </row>
    <row r="208" ht="13.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8"/>
      <c r="AC208" s="7"/>
      <c r="AD208" s="8"/>
      <c r="AE208" s="7"/>
    </row>
    <row r="209" ht="13.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8"/>
      <c r="AC209" s="7"/>
      <c r="AD209" s="8"/>
      <c r="AE209" s="7"/>
    </row>
    <row r="210" ht="13.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8"/>
      <c r="AC210" s="7"/>
      <c r="AD210" s="8"/>
      <c r="AE210" s="7"/>
    </row>
    <row r="211" ht="13.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8"/>
      <c r="AC211" s="7"/>
      <c r="AD211" s="8"/>
      <c r="AE211" s="7"/>
    </row>
    <row r="212"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8"/>
      <c r="AC212" s="7"/>
      <c r="AD212" s="8"/>
      <c r="AE212" s="7"/>
    </row>
    <row r="213"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8"/>
      <c r="AC213" s="7"/>
      <c r="AD213" s="8"/>
      <c r="AE213" s="7"/>
    </row>
    <row r="214"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8"/>
      <c r="AC214" s="7"/>
      <c r="AD214" s="8"/>
      <c r="AE214" s="7"/>
    </row>
    <row r="215"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8"/>
      <c r="AC215" s="7"/>
      <c r="AD215" s="8"/>
      <c r="AE215" s="7"/>
    </row>
    <row r="21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8"/>
      <c r="AC216" s="7"/>
      <c r="AD216" s="8"/>
      <c r="AE216" s="7"/>
    </row>
    <row r="217"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8"/>
      <c r="AC217" s="7"/>
      <c r="AD217" s="8"/>
      <c r="AE217" s="7"/>
    </row>
    <row r="218"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8"/>
      <c r="AC218" s="7"/>
      <c r="AD218" s="8"/>
      <c r="AE218" s="7"/>
    </row>
    <row r="219"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8"/>
      <c r="AC219" s="7"/>
      <c r="AD219" s="8"/>
      <c r="AE219" s="7"/>
    </row>
    <row r="220"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8"/>
      <c r="AC220" s="7"/>
      <c r="AD220" s="8"/>
      <c r="AE220" s="7"/>
    </row>
    <row r="221"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8"/>
      <c r="AC221" s="7"/>
      <c r="AD221" s="8"/>
      <c r="AE221" s="7"/>
    </row>
    <row r="222"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8"/>
      <c r="AC222" s="7"/>
      <c r="AD222" s="8"/>
      <c r="AE222" s="7"/>
    </row>
    <row r="223"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8"/>
      <c r="AC223" s="7"/>
      <c r="AD223" s="8"/>
      <c r="AE223" s="7"/>
    </row>
    <row r="224"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8"/>
      <c r="AC224" s="7"/>
      <c r="AD224" s="8"/>
      <c r="AE224" s="7"/>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8"/>
      <c r="AC225" s="7"/>
      <c r="AD225" s="8"/>
      <c r="AE225" s="7"/>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8"/>
      <c r="AC226" s="7"/>
      <c r="AD226" s="8"/>
      <c r="AE226" s="7"/>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8"/>
      <c r="AC227" s="7"/>
      <c r="AD227" s="8"/>
      <c r="AE227" s="7"/>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8"/>
      <c r="AC228" s="7"/>
      <c r="AD228" s="8"/>
      <c r="AE228" s="7"/>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8"/>
      <c r="AC229" s="7"/>
      <c r="AD229" s="8"/>
      <c r="AE229" s="7"/>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8"/>
      <c r="AC230" s="7"/>
      <c r="AD230" s="8"/>
      <c r="AE230" s="7"/>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8"/>
      <c r="AC231" s="7"/>
      <c r="AD231" s="8"/>
      <c r="AE231" s="7"/>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8"/>
      <c r="AC232" s="7"/>
      <c r="AD232" s="8"/>
      <c r="AE232" s="7"/>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8"/>
      <c r="AC233" s="7"/>
      <c r="AD233" s="8"/>
      <c r="AE233" s="7"/>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8"/>
      <c r="AC234" s="7"/>
      <c r="AD234" s="8"/>
      <c r="AE234" s="7"/>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8"/>
      <c r="AC235" s="7"/>
      <c r="AD235" s="8"/>
      <c r="AE235" s="7"/>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8"/>
      <c r="AC236" s="7"/>
      <c r="AD236" s="8"/>
      <c r="AE236" s="7"/>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8"/>
      <c r="AC237" s="7"/>
      <c r="AD237" s="8"/>
      <c r="AE237" s="7"/>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8"/>
      <c r="AC238" s="7"/>
      <c r="AD238" s="8"/>
      <c r="AE238" s="7"/>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8"/>
      <c r="AC239" s="7"/>
      <c r="AD239" s="8"/>
      <c r="AE239" s="7"/>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8"/>
      <c r="AC240" s="7"/>
      <c r="AD240" s="8"/>
      <c r="AE240" s="7"/>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8"/>
      <c r="AC241" s="7"/>
      <c r="AD241" s="8"/>
      <c r="AE241" s="7"/>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8"/>
      <c r="AC242" s="7"/>
      <c r="AD242" s="8"/>
      <c r="AE242" s="7"/>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8"/>
      <c r="AC243" s="7"/>
      <c r="AD243" s="8"/>
      <c r="AE243" s="7"/>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8"/>
      <c r="AC244" s="7"/>
      <c r="AD244" s="8"/>
      <c r="AE244" s="7"/>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8"/>
      <c r="AC245" s="7"/>
      <c r="AD245" s="8"/>
      <c r="AE245" s="7"/>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8"/>
      <c r="AC246" s="7"/>
      <c r="AD246" s="8"/>
      <c r="AE246" s="7"/>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8"/>
      <c r="AC247" s="7"/>
      <c r="AD247" s="8"/>
      <c r="AE247" s="7"/>
    </row>
    <row r="24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8"/>
      <c r="AC248" s="7"/>
      <c r="AD248" s="8"/>
      <c r="AE248" s="7"/>
    </row>
    <row r="249"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8"/>
      <c r="AC249" s="7"/>
      <c r="AD249" s="8"/>
      <c r="AE249" s="7"/>
    </row>
    <row r="250"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8"/>
      <c r="AC250" s="7"/>
      <c r="AD250" s="8"/>
      <c r="AE250" s="7"/>
    </row>
    <row r="251"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8"/>
      <c r="AC251" s="7"/>
      <c r="AD251" s="8"/>
      <c r="AE251" s="7"/>
    </row>
    <row r="252"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8"/>
      <c r="AC252" s="7"/>
      <c r="AD252" s="8"/>
      <c r="AE252" s="7"/>
    </row>
    <row r="253"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8"/>
      <c r="AC253" s="7"/>
      <c r="AD253" s="8"/>
      <c r="AE253" s="7"/>
    </row>
    <row r="254"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8"/>
      <c r="AC254" s="7"/>
      <c r="AD254" s="8"/>
      <c r="AE254" s="7"/>
    </row>
    <row r="255"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8"/>
      <c r="AC255" s="7"/>
      <c r="AD255" s="8"/>
      <c r="AE255" s="7"/>
    </row>
    <row r="25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8"/>
      <c r="AC256" s="7"/>
      <c r="AD256" s="8"/>
      <c r="AE256" s="7"/>
    </row>
    <row r="257"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8"/>
      <c r="AC257" s="7"/>
      <c r="AD257" s="8"/>
      <c r="AE257" s="7"/>
    </row>
    <row r="25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8"/>
      <c r="AC258" s="7"/>
      <c r="AD258" s="8"/>
      <c r="AE258" s="7"/>
    </row>
    <row r="259"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8"/>
      <c r="AC259" s="7"/>
      <c r="AD259" s="8"/>
      <c r="AE259" s="7"/>
    </row>
    <row r="260"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8"/>
      <c r="AC260" s="7"/>
      <c r="AD260" s="8"/>
      <c r="AE260" s="7"/>
    </row>
    <row r="261"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8"/>
      <c r="AC261" s="7"/>
      <c r="AD261" s="8"/>
      <c r="AE261" s="7"/>
    </row>
    <row r="262"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8"/>
      <c r="AC262" s="7"/>
      <c r="AD262" s="8"/>
      <c r="AE262" s="7"/>
    </row>
    <row r="263"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8"/>
      <c r="AC263" s="7"/>
      <c r="AD263" s="8"/>
      <c r="AE263" s="7"/>
    </row>
    <row r="264"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8"/>
      <c r="AC264" s="7"/>
      <c r="AD264" s="8"/>
      <c r="AE264" s="7"/>
    </row>
    <row r="265"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8"/>
      <c r="AC265" s="7"/>
      <c r="AD265" s="8"/>
      <c r="AE265" s="7"/>
    </row>
    <row r="26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8"/>
      <c r="AC266" s="7"/>
      <c r="AD266" s="8"/>
      <c r="AE266" s="7"/>
    </row>
    <row r="267"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8"/>
      <c r="AC267" s="7"/>
      <c r="AD267" s="8"/>
      <c r="AE267" s="7"/>
    </row>
    <row r="26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8"/>
      <c r="AC268" s="7"/>
      <c r="AD268" s="8"/>
      <c r="AE268" s="7"/>
    </row>
    <row r="269"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8"/>
      <c r="AC269" s="7"/>
      <c r="AD269" s="8"/>
      <c r="AE269" s="7"/>
    </row>
    <row r="270"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8"/>
      <c r="AC270" s="7"/>
      <c r="AD270" s="8"/>
      <c r="AE270" s="7"/>
    </row>
    <row r="271"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8"/>
      <c r="AC271" s="7"/>
      <c r="AD271" s="8"/>
      <c r="AE271" s="7"/>
    </row>
    <row r="272"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8"/>
      <c r="AC272" s="7"/>
      <c r="AD272" s="8"/>
      <c r="AE272" s="7"/>
    </row>
    <row r="273"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8"/>
      <c r="AC273" s="7"/>
      <c r="AD273" s="8"/>
      <c r="AE273" s="7"/>
    </row>
    <row r="274"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8"/>
      <c r="AC274" s="7"/>
      <c r="AD274" s="8"/>
      <c r="AE274" s="7"/>
    </row>
    <row r="275"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8"/>
      <c r="AC275" s="7"/>
      <c r="AD275" s="8"/>
      <c r="AE275" s="7"/>
    </row>
    <row r="27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8"/>
      <c r="AC276" s="7"/>
      <c r="AD276" s="8"/>
      <c r="AE276" s="7"/>
    </row>
    <row r="277"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8"/>
      <c r="AC277" s="7"/>
      <c r="AD277" s="8"/>
      <c r="AE277" s="7"/>
    </row>
    <row r="27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8"/>
      <c r="AC278" s="7"/>
      <c r="AD278" s="8"/>
      <c r="AE278" s="7"/>
    </row>
    <row r="279"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8"/>
      <c r="AC279" s="7"/>
      <c r="AD279" s="8"/>
      <c r="AE279" s="7"/>
    </row>
    <row r="280"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8"/>
      <c r="AC280" s="7"/>
      <c r="AD280" s="8"/>
      <c r="AE280" s="7"/>
    </row>
    <row r="281"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8"/>
      <c r="AC281" s="7"/>
      <c r="AD281" s="8"/>
      <c r="AE281" s="7"/>
    </row>
    <row r="282"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8"/>
      <c r="AC282" s="7"/>
      <c r="AD282" s="8"/>
      <c r="AE282" s="7"/>
    </row>
    <row r="283"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8"/>
      <c r="AC283" s="7"/>
      <c r="AD283" s="8"/>
      <c r="AE283" s="7"/>
    </row>
    <row r="284"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8"/>
      <c r="AC284" s="7"/>
      <c r="AD284" s="8"/>
      <c r="AE284" s="7"/>
    </row>
    <row r="285"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8"/>
      <c r="AC285" s="7"/>
      <c r="AD285" s="8"/>
      <c r="AE285" s="7"/>
    </row>
    <row r="28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8"/>
      <c r="AC286" s="7"/>
      <c r="AD286" s="8"/>
      <c r="AE286" s="7"/>
    </row>
    <row r="287"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8"/>
      <c r="AC287" s="7"/>
      <c r="AD287" s="8"/>
      <c r="AE287" s="7"/>
    </row>
    <row r="28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8"/>
      <c r="AC288" s="7"/>
      <c r="AD288" s="8"/>
      <c r="AE288" s="7"/>
    </row>
    <row r="289"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8"/>
      <c r="AC289" s="7"/>
      <c r="AD289" s="8"/>
      <c r="AE289" s="7"/>
    </row>
    <row r="290"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8"/>
      <c r="AC290" s="7"/>
      <c r="AD290" s="8"/>
      <c r="AE290" s="7"/>
    </row>
    <row r="291"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8"/>
      <c r="AC291" s="7"/>
      <c r="AD291" s="8"/>
      <c r="AE291" s="7"/>
    </row>
    <row r="292"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8"/>
      <c r="AC292" s="7"/>
      <c r="AD292" s="8"/>
      <c r="AE292" s="7"/>
    </row>
    <row r="293"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8"/>
      <c r="AC293" s="7"/>
      <c r="AD293" s="8"/>
      <c r="AE293" s="7"/>
    </row>
    <row r="294"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8"/>
      <c r="AC294" s="7"/>
      <c r="AD294" s="8"/>
      <c r="AE294" s="7"/>
    </row>
    <row r="295"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8"/>
      <c r="AC295" s="7"/>
      <c r="AD295" s="8"/>
      <c r="AE295" s="7"/>
    </row>
    <row r="29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8"/>
      <c r="AC296" s="7"/>
      <c r="AD296" s="8"/>
      <c r="AE296" s="7"/>
    </row>
    <row r="297"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8"/>
      <c r="AC297" s="7"/>
      <c r="AD297" s="8"/>
      <c r="AE297" s="7"/>
    </row>
    <row r="29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8"/>
      <c r="AC298" s="7"/>
      <c r="AD298" s="8"/>
      <c r="AE298" s="7"/>
    </row>
    <row r="299"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8"/>
      <c r="AC299" s="7"/>
      <c r="AD299" s="8"/>
      <c r="AE299" s="7"/>
    </row>
    <row r="300"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8"/>
      <c r="AC300" s="7"/>
      <c r="AD300" s="8"/>
      <c r="AE300" s="7"/>
    </row>
    <row r="301"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8"/>
      <c r="AC301" s="7"/>
      <c r="AD301" s="8"/>
      <c r="AE301" s="7"/>
    </row>
    <row r="302"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8"/>
      <c r="AC302" s="7"/>
      <c r="AD302" s="8"/>
      <c r="AE302" s="7"/>
    </row>
    <row r="303"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8"/>
      <c r="AC303" s="7"/>
      <c r="AD303" s="8"/>
      <c r="AE303" s="7"/>
    </row>
    <row r="304"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8"/>
      <c r="AC304" s="7"/>
      <c r="AD304" s="8"/>
      <c r="AE304" s="7"/>
    </row>
    <row r="305"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8"/>
      <c r="AC305" s="7"/>
      <c r="AD305" s="8"/>
      <c r="AE305" s="7"/>
    </row>
    <row r="30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8"/>
      <c r="AC306" s="7"/>
      <c r="AD306" s="8"/>
      <c r="AE306" s="7"/>
    </row>
    <row r="307"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8"/>
      <c r="AC307" s="7"/>
      <c r="AD307" s="8"/>
      <c r="AE307" s="7"/>
    </row>
    <row r="30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8"/>
      <c r="AC308" s="7"/>
      <c r="AD308" s="8"/>
      <c r="AE308" s="7"/>
    </row>
    <row r="309"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8"/>
      <c r="AC309" s="7"/>
      <c r="AD309" s="8"/>
      <c r="AE309" s="7"/>
    </row>
    <row r="310"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8"/>
      <c r="AC310" s="7"/>
      <c r="AD310" s="8"/>
      <c r="AE310" s="7"/>
    </row>
    <row r="311"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8"/>
      <c r="AC311" s="7"/>
      <c r="AD311" s="8"/>
      <c r="AE311" s="7"/>
    </row>
    <row r="312"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8"/>
      <c r="AC312" s="7"/>
      <c r="AD312" s="8"/>
      <c r="AE312" s="7"/>
    </row>
    <row r="313"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8"/>
      <c r="AC313" s="7"/>
      <c r="AD313" s="8"/>
      <c r="AE313" s="7"/>
    </row>
    <row r="314"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8"/>
      <c r="AC314" s="7"/>
      <c r="AD314" s="8"/>
      <c r="AE314" s="7"/>
    </row>
    <row r="315"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8"/>
      <c r="AC315" s="7"/>
      <c r="AD315" s="8"/>
      <c r="AE315" s="7"/>
    </row>
    <row r="31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8"/>
      <c r="AC316" s="7"/>
      <c r="AD316" s="8"/>
      <c r="AE316" s="7"/>
    </row>
    <row r="317"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8"/>
      <c r="AC317" s="7"/>
      <c r="AD317" s="8"/>
      <c r="AE317" s="7"/>
    </row>
    <row r="31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8"/>
      <c r="AC318" s="7"/>
      <c r="AD318" s="8"/>
      <c r="AE318" s="7"/>
    </row>
    <row r="319"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8"/>
      <c r="AC319" s="7"/>
      <c r="AD319" s="8"/>
      <c r="AE319" s="7"/>
    </row>
    <row r="320"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8"/>
      <c r="AC320" s="7"/>
      <c r="AD320" s="8"/>
      <c r="AE320" s="7"/>
    </row>
    <row r="321"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8"/>
      <c r="AC321" s="7"/>
      <c r="AD321" s="8"/>
      <c r="AE321" s="7"/>
    </row>
    <row r="322"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8"/>
      <c r="AC322" s="7"/>
      <c r="AD322" s="8"/>
      <c r="AE322" s="7"/>
    </row>
    <row r="323"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8"/>
      <c r="AC323" s="7"/>
      <c r="AD323" s="8"/>
      <c r="AE323" s="7"/>
    </row>
    <row r="324"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8"/>
      <c r="AC324" s="7"/>
      <c r="AD324" s="8"/>
      <c r="AE324" s="7"/>
    </row>
    <row r="325"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8"/>
      <c r="AC325" s="7"/>
      <c r="AD325" s="8"/>
      <c r="AE325" s="7"/>
    </row>
    <row r="3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8"/>
      <c r="AC326" s="7"/>
      <c r="AD326" s="8"/>
      <c r="AE326" s="7"/>
    </row>
    <row r="327"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8"/>
      <c r="AC327" s="7"/>
      <c r="AD327" s="8"/>
      <c r="AE327" s="7"/>
    </row>
    <row r="3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8"/>
      <c r="AC328" s="7"/>
      <c r="AD328" s="8"/>
      <c r="AE328" s="7"/>
    </row>
    <row r="329"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8"/>
      <c r="AC329" s="7"/>
      <c r="AD329" s="8"/>
      <c r="AE329" s="7"/>
    </row>
    <row r="330"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8"/>
      <c r="AC330" s="7"/>
      <c r="AD330" s="8"/>
      <c r="AE330" s="7"/>
    </row>
    <row r="331"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8"/>
      <c r="AC331" s="7"/>
      <c r="AD331" s="8"/>
      <c r="AE331" s="7"/>
    </row>
    <row r="332"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8"/>
      <c r="AC332" s="7"/>
      <c r="AD332" s="8"/>
      <c r="AE332" s="7"/>
    </row>
    <row r="333"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8"/>
      <c r="AC333" s="7"/>
      <c r="AD333" s="8"/>
      <c r="AE333" s="7"/>
    </row>
    <row r="334"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8"/>
      <c r="AC334" s="7"/>
      <c r="AD334" s="8"/>
      <c r="AE334" s="7"/>
    </row>
    <row r="335"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8"/>
      <c r="AC335" s="7"/>
      <c r="AD335" s="8"/>
      <c r="AE335" s="7"/>
    </row>
    <row r="33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8"/>
      <c r="AC336" s="7"/>
      <c r="AD336" s="8"/>
      <c r="AE336" s="7"/>
    </row>
    <row r="337"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8"/>
      <c r="AC337" s="7"/>
      <c r="AD337" s="8"/>
      <c r="AE337" s="7"/>
    </row>
    <row r="33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8"/>
      <c r="AC338" s="7"/>
      <c r="AD338" s="8"/>
      <c r="AE338" s="7"/>
    </row>
    <row r="339"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8"/>
      <c r="AC339" s="7"/>
      <c r="AD339" s="8"/>
      <c r="AE339" s="7"/>
    </row>
    <row r="340"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8"/>
      <c r="AC340" s="7"/>
      <c r="AD340" s="8"/>
      <c r="AE340" s="7"/>
    </row>
    <row r="341"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8"/>
      <c r="AC341" s="7"/>
      <c r="AD341" s="8"/>
      <c r="AE341" s="7"/>
    </row>
    <row r="342"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8"/>
      <c r="AC342" s="7"/>
      <c r="AD342" s="8"/>
      <c r="AE342" s="7"/>
    </row>
    <row r="343"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8"/>
      <c r="AC343" s="7"/>
      <c r="AD343" s="8"/>
      <c r="AE343" s="7"/>
    </row>
    <row r="344"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8"/>
      <c r="AC344" s="7"/>
      <c r="AD344" s="8"/>
      <c r="AE344" s="7"/>
    </row>
    <row r="345"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8"/>
      <c r="AC345" s="7"/>
      <c r="AD345" s="8"/>
      <c r="AE345" s="7"/>
    </row>
    <row r="34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8"/>
      <c r="AC346" s="7"/>
      <c r="AD346" s="8"/>
      <c r="AE346" s="7"/>
    </row>
    <row r="347"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8"/>
      <c r="AC347" s="7"/>
      <c r="AD347" s="8"/>
      <c r="AE347" s="7"/>
    </row>
    <row r="34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8"/>
      <c r="AC348" s="7"/>
      <c r="AD348" s="8"/>
      <c r="AE348" s="7"/>
    </row>
    <row r="349"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8"/>
      <c r="AC349" s="7"/>
      <c r="AD349" s="8"/>
      <c r="AE349" s="7"/>
    </row>
    <row r="350"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8"/>
      <c r="AC350" s="7"/>
      <c r="AD350" s="8"/>
      <c r="AE350" s="7"/>
    </row>
    <row r="351"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8"/>
      <c r="AC351" s="7"/>
      <c r="AD351" s="8"/>
      <c r="AE351" s="7"/>
    </row>
    <row r="352"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8"/>
      <c r="AC352" s="7"/>
      <c r="AD352" s="8"/>
      <c r="AE352" s="7"/>
    </row>
    <row r="353"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8"/>
      <c r="AC353" s="7"/>
      <c r="AD353" s="8"/>
      <c r="AE353" s="7"/>
    </row>
    <row r="354"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8"/>
      <c r="AC354" s="7"/>
      <c r="AD354" s="8"/>
      <c r="AE354" s="7"/>
    </row>
    <row r="355"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8"/>
      <c r="AC355" s="7"/>
      <c r="AD355" s="8"/>
      <c r="AE355" s="7"/>
    </row>
    <row r="35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8"/>
      <c r="AC356" s="7"/>
      <c r="AD356" s="8"/>
      <c r="AE356" s="7"/>
    </row>
    <row r="357"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8"/>
      <c r="AC357" s="7"/>
      <c r="AD357" s="8"/>
      <c r="AE357" s="7"/>
    </row>
    <row r="35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8"/>
      <c r="AC358" s="7"/>
      <c r="AD358" s="8"/>
      <c r="AE358" s="7"/>
    </row>
    <row r="359"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8"/>
      <c r="AC359" s="7"/>
      <c r="AD359" s="8"/>
      <c r="AE359" s="7"/>
    </row>
    <row r="360"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8"/>
      <c r="AC360" s="7"/>
      <c r="AD360" s="8"/>
      <c r="AE360" s="7"/>
    </row>
    <row r="361"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8"/>
      <c r="AC361" s="7"/>
      <c r="AD361" s="8"/>
      <c r="AE361" s="7"/>
    </row>
    <row r="362"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8"/>
      <c r="AC362" s="7"/>
      <c r="AD362" s="8"/>
      <c r="AE362" s="7"/>
    </row>
    <row r="363"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8"/>
      <c r="AC363" s="7"/>
      <c r="AD363" s="8"/>
      <c r="AE363" s="7"/>
    </row>
    <row r="364"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8"/>
      <c r="AC364" s="7"/>
      <c r="AD364" s="8"/>
      <c r="AE364" s="7"/>
    </row>
    <row r="365"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8"/>
      <c r="AC365" s="7"/>
      <c r="AD365" s="8"/>
      <c r="AE365" s="7"/>
    </row>
    <row r="36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8"/>
      <c r="AC366" s="7"/>
      <c r="AD366" s="8"/>
      <c r="AE366" s="7"/>
    </row>
    <row r="367"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8"/>
      <c r="AC367" s="7"/>
      <c r="AD367" s="8"/>
      <c r="AE367" s="7"/>
    </row>
    <row r="36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8"/>
      <c r="AC368" s="7"/>
      <c r="AD368" s="8"/>
      <c r="AE368" s="7"/>
    </row>
    <row r="369"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8"/>
      <c r="AC369" s="7"/>
      <c r="AD369" s="8"/>
      <c r="AE369" s="7"/>
    </row>
    <row r="370"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8"/>
      <c r="AC370" s="7"/>
      <c r="AD370" s="8"/>
      <c r="AE370" s="7"/>
    </row>
    <row r="371"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8"/>
      <c r="AC371" s="7"/>
      <c r="AD371" s="8"/>
      <c r="AE371" s="7"/>
    </row>
    <row r="372"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8"/>
      <c r="AC372" s="7"/>
      <c r="AD372" s="8"/>
      <c r="AE372" s="7"/>
    </row>
    <row r="373"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8"/>
      <c r="AC373" s="7"/>
      <c r="AD373" s="8"/>
      <c r="AE373" s="7"/>
    </row>
    <row r="374"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8"/>
      <c r="AC374" s="7"/>
      <c r="AD374" s="8"/>
      <c r="AE374" s="7"/>
    </row>
    <row r="375"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8"/>
      <c r="AC375" s="7"/>
      <c r="AD375" s="8"/>
      <c r="AE375" s="7"/>
    </row>
    <row r="37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8"/>
      <c r="AC376" s="7"/>
      <c r="AD376" s="8"/>
      <c r="AE376" s="7"/>
    </row>
    <row r="377"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8"/>
      <c r="AC377" s="7"/>
      <c r="AD377" s="8"/>
      <c r="AE377" s="7"/>
    </row>
    <row r="37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8"/>
      <c r="AC378" s="7"/>
      <c r="AD378" s="8"/>
      <c r="AE378" s="7"/>
    </row>
    <row r="379"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8"/>
      <c r="AC379" s="7"/>
      <c r="AD379" s="8"/>
      <c r="AE379" s="7"/>
    </row>
    <row r="380"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8"/>
      <c r="AC380" s="7"/>
      <c r="AD380" s="8"/>
      <c r="AE380" s="7"/>
    </row>
    <row r="381"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8"/>
      <c r="AC381" s="7"/>
      <c r="AD381" s="8"/>
      <c r="AE381" s="7"/>
    </row>
    <row r="382"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8"/>
      <c r="AC382" s="7"/>
      <c r="AD382" s="8"/>
      <c r="AE382" s="7"/>
    </row>
    <row r="383"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8"/>
      <c r="AC383" s="7"/>
      <c r="AD383" s="8"/>
      <c r="AE383" s="7"/>
    </row>
    <row r="384"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8"/>
      <c r="AC384" s="7"/>
      <c r="AD384" s="8"/>
      <c r="AE384" s="7"/>
    </row>
    <row r="385"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8"/>
      <c r="AC385" s="7"/>
      <c r="AD385" s="8"/>
      <c r="AE385" s="7"/>
    </row>
    <row r="38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8"/>
      <c r="AC386" s="7"/>
      <c r="AD386" s="8"/>
      <c r="AE386" s="7"/>
    </row>
    <row r="387"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8"/>
      <c r="AC387" s="7"/>
      <c r="AD387" s="8"/>
      <c r="AE387" s="7"/>
    </row>
    <row r="38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8"/>
      <c r="AC388" s="7"/>
      <c r="AD388" s="8"/>
      <c r="AE388" s="7"/>
    </row>
    <row r="389"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8"/>
      <c r="AC389" s="7"/>
      <c r="AD389" s="8"/>
      <c r="AE389" s="7"/>
    </row>
    <row r="390"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8"/>
      <c r="AC390" s="7"/>
      <c r="AD390" s="8"/>
      <c r="AE390" s="7"/>
    </row>
    <row r="391"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8"/>
      <c r="AC391" s="7"/>
      <c r="AD391" s="8"/>
      <c r="AE391" s="7"/>
    </row>
    <row r="392"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8"/>
      <c r="AC392" s="7"/>
      <c r="AD392" s="8"/>
      <c r="AE392" s="7"/>
    </row>
    <row r="393"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8"/>
      <c r="AC393" s="7"/>
      <c r="AD393" s="8"/>
      <c r="AE393" s="7"/>
    </row>
    <row r="394"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8"/>
      <c r="AC394" s="7"/>
      <c r="AD394" s="8"/>
      <c r="AE394" s="7"/>
    </row>
    <row r="395"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8"/>
      <c r="AC395" s="7"/>
      <c r="AD395" s="8"/>
      <c r="AE395" s="7"/>
    </row>
    <row r="39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8"/>
      <c r="AC396" s="7"/>
      <c r="AD396" s="8"/>
      <c r="AE396" s="7"/>
    </row>
    <row r="397"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8"/>
      <c r="AC397" s="7"/>
      <c r="AD397" s="8"/>
      <c r="AE397" s="7"/>
    </row>
    <row r="39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8"/>
      <c r="AC398" s="7"/>
      <c r="AD398" s="8"/>
      <c r="AE398" s="7"/>
    </row>
    <row r="399"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8"/>
      <c r="AC399" s="7"/>
      <c r="AD399" s="8"/>
      <c r="AE399" s="7"/>
    </row>
    <row r="400"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8"/>
      <c r="AC400" s="7"/>
      <c r="AD400" s="8"/>
      <c r="AE400" s="7"/>
    </row>
    <row r="401"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8"/>
      <c r="AC401" s="7"/>
      <c r="AD401" s="8"/>
      <c r="AE401" s="7"/>
    </row>
    <row r="402"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8"/>
      <c r="AC402" s="7"/>
      <c r="AD402" s="8"/>
      <c r="AE402" s="7"/>
    </row>
    <row r="403"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8"/>
      <c r="AC403" s="7"/>
      <c r="AD403" s="8"/>
      <c r="AE403" s="7"/>
    </row>
    <row r="404"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8"/>
      <c r="AC404" s="7"/>
      <c r="AD404" s="8"/>
      <c r="AE404" s="7"/>
    </row>
    <row r="405"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8"/>
      <c r="AC405" s="7"/>
      <c r="AD405" s="8"/>
      <c r="AE405" s="7"/>
    </row>
    <row r="40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8"/>
      <c r="AC406" s="7"/>
      <c r="AD406" s="8"/>
      <c r="AE406" s="7"/>
    </row>
    <row r="407"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8"/>
      <c r="AC407" s="7"/>
      <c r="AD407" s="8"/>
      <c r="AE407" s="7"/>
    </row>
    <row r="40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8"/>
      <c r="AC408" s="7"/>
      <c r="AD408" s="8"/>
      <c r="AE408" s="7"/>
    </row>
    <row r="409"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8"/>
      <c r="AC409" s="7"/>
      <c r="AD409" s="8"/>
      <c r="AE409" s="7"/>
    </row>
    <row r="410"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8"/>
      <c r="AC410" s="7"/>
      <c r="AD410" s="8"/>
      <c r="AE410" s="7"/>
    </row>
    <row r="411"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8"/>
      <c r="AC411" s="7"/>
      <c r="AD411" s="8"/>
      <c r="AE411" s="7"/>
    </row>
    <row r="412"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8"/>
      <c r="AC412" s="7"/>
      <c r="AD412" s="8"/>
      <c r="AE412" s="7"/>
    </row>
    <row r="413"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8"/>
      <c r="AC413" s="7"/>
      <c r="AD413" s="8"/>
      <c r="AE413" s="7"/>
    </row>
    <row r="414"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8"/>
      <c r="AC414" s="7"/>
      <c r="AD414" s="8"/>
      <c r="AE414" s="7"/>
    </row>
    <row r="415"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8"/>
      <c r="AC415" s="7"/>
      <c r="AD415" s="8"/>
      <c r="AE415" s="7"/>
    </row>
    <row r="41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8"/>
      <c r="AC416" s="7"/>
      <c r="AD416" s="8"/>
      <c r="AE416" s="7"/>
    </row>
    <row r="417"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8"/>
      <c r="AC417" s="7"/>
      <c r="AD417" s="8"/>
      <c r="AE417" s="7"/>
    </row>
    <row r="41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8"/>
      <c r="AC418" s="7"/>
      <c r="AD418" s="8"/>
      <c r="AE418" s="7"/>
    </row>
    <row r="419"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8"/>
      <c r="AC419" s="7"/>
      <c r="AD419" s="8"/>
      <c r="AE419" s="7"/>
    </row>
    <row r="420"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8"/>
      <c r="AC420" s="7"/>
      <c r="AD420" s="8"/>
      <c r="AE420" s="7"/>
    </row>
    <row r="421"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8"/>
      <c r="AC421" s="7"/>
      <c r="AD421" s="8"/>
      <c r="AE421" s="7"/>
    </row>
    <row r="422"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8"/>
      <c r="AC422" s="7"/>
      <c r="AD422" s="8"/>
      <c r="AE422" s="7"/>
    </row>
    <row r="423"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8"/>
      <c r="AC423" s="7"/>
      <c r="AD423" s="8"/>
      <c r="AE423" s="7"/>
    </row>
    <row r="424"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8"/>
      <c r="AC424" s="7"/>
      <c r="AD424" s="8"/>
      <c r="AE424" s="7"/>
    </row>
    <row r="425"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8"/>
      <c r="AC425" s="7"/>
      <c r="AD425" s="8"/>
      <c r="AE425" s="7"/>
    </row>
    <row r="4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8"/>
      <c r="AC426" s="7"/>
      <c r="AD426" s="8"/>
      <c r="AE426" s="7"/>
    </row>
    <row r="427"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8"/>
      <c r="AC427" s="7"/>
      <c r="AD427" s="8"/>
      <c r="AE427" s="7"/>
    </row>
    <row r="4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8"/>
      <c r="AC428" s="7"/>
      <c r="AD428" s="8"/>
      <c r="AE428" s="7"/>
    </row>
    <row r="429"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8"/>
      <c r="AC429" s="7"/>
      <c r="AD429" s="8"/>
      <c r="AE429" s="7"/>
    </row>
    <row r="430"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8"/>
      <c r="AC430" s="7"/>
      <c r="AD430" s="8"/>
      <c r="AE430" s="7"/>
    </row>
    <row r="431"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8"/>
      <c r="AC431" s="7"/>
      <c r="AD431" s="8"/>
      <c r="AE431" s="7"/>
    </row>
    <row r="432"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8"/>
      <c r="AC432" s="7"/>
      <c r="AD432" s="8"/>
      <c r="AE432" s="7"/>
    </row>
    <row r="433"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8"/>
      <c r="AC433" s="7"/>
      <c r="AD433" s="8"/>
      <c r="AE433" s="7"/>
    </row>
    <row r="434"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8"/>
      <c r="AC434" s="7"/>
      <c r="AD434" s="8"/>
      <c r="AE434" s="7"/>
    </row>
    <row r="435"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8"/>
      <c r="AC435" s="7"/>
      <c r="AD435" s="8"/>
      <c r="AE435" s="7"/>
    </row>
    <row r="43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8"/>
      <c r="AC436" s="7"/>
      <c r="AD436" s="8"/>
      <c r="AE436" s="7"/>
    </row>
    <row r="437"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8"/>
      <c r="AC437" s="7"/>
      <c r="AD437" s="8"/>
      <c r="AE437" s="7"/>
    </row>
    <row r="43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8"/>
      <c r="AC438" s="7"/>
      <c r="AD438" s="8"/>
      <c r="AE438" s="7"/>
    </row>
    <row r="439"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8"/>
      <c r="AC439" s="7"/>
      <c r="AD439" s="8"/>
      <c r="AE439" s="7"/>
    </row>
    <row r="440"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8"/>
      <c r="AC440" s="7"/>
      <c r="AD440" s="8"/>
      <c r="AE440" s="7"/>
    </row>
    <row r="441"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8"/>
      <c r="AC441" s="7"/>
      <c r="AD441" s="8"/>
      <c r="AE441" s="7"/>
    </row>
    <row r="442"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8"/>
      <c r="AC442" s="7"/>
      <c r="AD442" s="8"/>
      <c r="AE442" s="7"/>
    </row>
    <row r="443"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8"/>
      <c r="AC443" s="7"/>
      <c r="AD443" s="8"/>
      <c r="AE443" s="7"/>
    </row>
    <row r="444"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8"/>
      <c r="AC444" s="7"/>
      <c r="AD444" s="8"/>
      <c r="AE444" s="7"/>
    </row>
    <row r="445"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8"/>
      <c r="AC445" s="7"/>
      <c r="AD445" s="8"/>
      <c r="AE445" s="7"/>
    </row>
    <row r="44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8"/>
      <c r="AC446" s="7"/>
      <c r="AD446" s="8"/>
      <c r="AE446" s="7"/>
    </row>
    <row r="447"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8"/>
      <c r="AC447" s="7"/>
      <c r="AD447" s="8"/>
      <c r="AE447" s="7"/>
    </row>
    <row r="44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8"/>
      <c r="AC448" s="7"/>
      <c r="AD448" s="8"/>
      <c r="AE448" s="7"/>
    </row>
    <row r="449"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8"/>
      <c r="AC449" s="7"/>
      <c r="AD449" s="8"/>
      <c r="AE449" s="7"/>
    </row>
    <row r="450"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8"/>
      <c r="AC450" s="7"/>
      <c r="AD450" s="8"/>
      <c r="AE450" s="7"/>
    </row>
    <row r="451"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8"/>
      <c r="AC451" s="7"/>
      <c r="AD451" s="8"/>
      <c r="AE451" s="7"/>
    </row>
    <row r="452"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8"/>
      <c r="AC452" s="7"/>
      <c r="AD452" s="8"/>
      <c r="AE452" s="7"/>
    </row>
    <row r="453"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8"/>
      <c r="AC453" s="7"/>
      <c r="AD453" s="8"/>
      <c r="AE453" s="7"/>
    </row>
    <row r="454"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8"/>
      <c r="AC454" s="7"/>
      <c r="AD454" s="8"/>
      <c r="AE454" s="7"/>
    </row>
    <row r="455"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8"/>
      <c r="AC455" s="7"/>
      <c r="AD455" s="8"/>
      <c r="AE455" s="7"/>
    </row>
    <row r="45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8"/>
      <c r="AC456" s="7"/>
      <c r="AD456" s="8"/>
      <c r="AE456" s="7"/>
    </row>
    <row r="457"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8"/>
      <c r="AC457" s="7"/>
      <c r="AD457" s="8"/>
      <c r="AE457" s="7"/>
    </row>
    <row r="45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8"/>
      <c r="AC458" s="7"/>
      <c r="AD458" s="8"/>
      <c r="AE458" s="7"/>
    </row>
    <row r="459"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8"/>
      <c r="AC459" s="7"/>
      <c r="AD459" s="8"/>
      <c r="AE459" s="7"/>
    </row>
    <row r="460"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8"/>
      <c r="AC460" s="7"/>
      <c r="AD460" s="8"/>
      <c r="AE460" s="7"/>
    </row>
    <row r="461"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8"/>
      <c r="AC461" s="7"/>
      <c r="AD461" s="8"/>
      <c r="AE461" s="7"/>
    </row>
    <row r="462"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8"/>
      <c r="AC462" s="7"/>
      <c r="AD462" s="8"/>
      <c r="AE462" s="7"/>
    </row>
    <row r="463"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8"/>
      <c r="AC463" s="7"/>
      <c r="AD463" s="8"/>
      <c r="AE463" s="7"/>
    </row>
    <row r="464"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8"/>
      <c r="AC464" s="7"/>
      <c r="AD464" s="8"/>
      <c r="AE464" s="7"/>
    </row>
    <row r="465"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8"/>
      <c r="AC465" s="7"/>
      <c r="AD465" s="8"/>
      <c r="AE465" s="7"/>
    </row>
    <row r="46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8"/>
      <c r="AC466" s="7"/>
      <c r="AD466" s="8"/>
      <c r="AE466" s="7"/>
    </row>
    <row r="467"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8"/>
      <c r="AC467" s="7"/>
      <c r="AD467" s="8"/>
      <c r="AE467" s="7"/>
    </row>
    <row r="46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8"/>
      <c r="AC468" s="7"/>
      <c r="AD468" s="8"/>
      <c r="AE468" s="7"/>
    </row>
    <row r="469"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8"/>
      <c r="AC469" s="7"/>
      <c r="AD469" s="8"/>
      <c r="AE469" s="7"/>
    </row>
    <row r="470"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8"/>
      <c r="AC470" s="7"/>
      <c r="AD470" s="8"/>
      <c r="AE470" s="7"/>
    </row>
    <row r="471"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8"/>
      <c r="AC471" s="7"/>
      <c r="AD471" s="8"/>
      <c r="AE471" s="7"/>
    </row>
    <row r="472"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8"/>
      <c r="AC472" s="7"/>
      <c r="AD472" s="8"/>
      <c r="AE472" s="7"/>
    </row>
    <row r="473"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8"/>
      <c r="AC473" s="7"/>
      <c r="AD473" s="8"/>
      <c r="AE473" s="7"/>
    </row>
    <row r="474"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8"/>
      <c r="AC474" s="7"/>
      <c r="AD474" s="8"/>
      <c r="AE474" s="7"/>
    </row>
    <row r="475"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8"/>
      <c r="AC475" s="7"/>
      <c r="AD475" s="8"/>
      <c r="AE475" s="7"/>
    </row>
    <row r="47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8"/>
      <c r="AC476" s="7"/>
      <c r="AD476" s="8"/>
      <c r="AE476" s="7"/>
    </row>
    <row r="477"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8"/>
      <c r="AC477" s="7"/>
      <c r="AD477" s="8"/>
      <c r="AE477" s="7"/>
    </row>
    <row r="47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8"/>
      <c r="AC478" s="7"/>
      <c r="AD478" s="8"/>
      <c r="AE478" s="7"/>
    </row>
    <row r="479"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8"/>
      <c r="AC479" s="7"/>
      <c r="AD479" s="8"/>
      <c r="AE479" s="7"/>
    </row>
    <row r="480"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8"/>
      <c r="AC480" s="7"/>
      <c r="AD480" s="8"/>
      <c r="AE480" s="7"/>
    </row>
    <row r="481"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8"/>
      <c r="AC481" s="7"/>
      <c r="AD481" s="8"/>
      <c r="AE481" s="7"/>
    </row>
    <row r="482"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8"/>
      <c r="AC482" s="7"/>
      <c r="AD482" s="8"/>
      <c r="AE482" s="7"/>
    </row>
    <row r="483"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8"/>
      <c r="AC483" s="7"/>
      <c r="AD483" s="8"/>
      <c r="AE483" s="7"/>
    </row>
    <row r="484"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8"/>
      <c r="AC484" s="7"/>
      <c r="AD484" s="8"/>
      <c r="AE484" s="7"/>
    </row>
    <row r="485"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8"/>
      <c r="AC485" s="7"/>
      <c r="AD485" s="8"/>
      <c r="AE485" s="7"/>
    </row>
    <row r="48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8"/>
      <c r="AC486" s="7"/>
      <c r="AD486" s="8"/>
      <c r="AE486" s="7"/>
    </row>
    <row r="487"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8"/>
      <c r="AC487" s="7"/>
      <c r="AD487" s="8"/>
      <c r="AE487" s="7"/>
    </row>
    <row r="48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8"/>
      <c r="AC488" s="7"/>
      <c r="AD488" s="8"/>
      <c r="AE488" s="7"/>
    </row>
    <row r="489"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8"/>
      <c r="AC489" s="7"/>
      <c r="AD489" s="8"/>
      <c r="AE489" s="7"/>
    </row>
    <row r="490"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8"/>
      <c r="AC490" s="7"/>
      <c r="AD490" s="8"/>
      <c r="AE490" s="7"/>
    </row>
    <row r="491"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8"/>
      <c r="AC491" s="7"/>
      <c r="AD491" s="8"/>
      <c r="AE491" s="7"/>
    </row>
    <row r="492"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8"/>
      <c r="AC492" s="7"/>
      <c r="AD492" s="8"/>
      <c r="AE492" s="7"/>
    </row>
    <row r="493"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8"/>
      <c r="AC493" s="7"/>
      <c r="AD493" s="8"/>
      <c r="AE493" s="7"/>
    </row>
    <row r="494"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8"/>
      <c r="AC494" s="7"/>
      <c r="AD494" s="8"/>
      <c r="AE494" s="7"/>
    </row>
    <row r="495"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8"/>
      <c r="AC495" s="7"/>
      <c r="AD495" s="8"/>
      <c r="AE495" s="7"/>
    </row>
    <row r="49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8"/>
      <c r="AC496" s="7"/>
      <c r="AD496" s="8"/>
      <c r="AE496" s="7"/>
    </row>
    <row r="497"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8"/>
      <c r="AC497" s="7"/>
      <c r="AD497" s="8"/>
      <c r="AE497" s="7"/>
    </row>
    <row r="49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8"/>
      <c r="AC498" s="7"/>
      <c r="AD498" s="8"/>
      <c r="AE498" s="7"/>
    </row>
    <row r="499"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8"/>
      <c r="AC499" s="7"/>
      <c r="AD499" s="8"/>
      <c r="AE499" s="7"/>
    </row>
    <row r="500"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8"/>
      <c r="AC500" s="7"/>
      <c r="AD500" s="8"/>
      <c r="AE500" s="7"/>
    </row>
    <row r="501"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8"/>
      <c r="AC501" s="7"/>
      <c r="AD501" s="8"/>
      <c r="AE501" s="7"/>
    </row>
    <row r="502"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8"/>
      <c r="AC502" s="7"/>
      <c r="AD502" s="8"/>
      <c r="AE502" s="7"/>
    </row>
    <row r="503"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8"/>
      <c r="AC503" s="7"/>
      <c r="AD503" s="8"/>
      <c r="AE503" s="7"/>
    </row>
    <row r="504"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8"/>
      <c r="AC504" s="7"/>
      <c r="AD504" s="8"/>
      <c r="AE504" s="7"/>
    </row>
    <row r="505"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8"/>
      <c r="AC505" s="7"/>
      <c r="AD505" s="8"/>
      <c r="AE505" s="7"/>
    </row>
    <row r="50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8"/>
      <c r="AC506" s="7"/>
      <c r="AD506" s="8"/>
      <c r="AE506" s="7"/>
    </row>
    <row r="507"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8"/>
      <c r="AC507" s="7"/>
      <c r="AD507" s="8"/>
      <c r="AE507" s="7"/>
    </row>
    <row r="50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8"/>
      <c r="AC508" s="7"/>
      <c r="AD508" s="8"/>
      <c r="AE508" s="7"/>
    </row>
    <row r="509"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8"/>
      <c r="AC509" s="7"/>
      <c r="AD509" s="8"/>
      <c r="AE509" s="7"/>
    </row>
    <row r="510"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8"/>
      <c r="AC510" s="7"/>
      <c r="AD510" s="8"/>
      <c r="AE510" s="7"/>
    </row>
    <row r="511"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8"/>
      <c r="AC511" s="7"/>
      <c r="AD511" s="8"/>
      <c r="AE511" s="7"/>
    </row>
    <row r="512"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8"/>
      <c r="AC512" s="7"/>
      <c r="AD512" s="8"/>
      <c r="AE512" s="7"/>
    </row>
    <row r="513"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8"/>
      <c r="AC513" s="7"/>
      <c r="AD513" s="8"/>
      <c r="AE513" s="7"/>
    </row>
    <row r="514"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8"/>
      <c r="AC514" s="7"/>
      <c r="AD514" s="8"/>
      <c r="AE514" s="7"/>
    </row>
    <row r="515"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8"/>
      <c r="AC515" s="7"/>
      <c r="AD515" s="8"/>
      <c r="AE515" s="7"/>
    </row>
    <row r="51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8"/>
      <c r="AC516" s="7"/>
      <c r="AD516" s="8"/>
      <c r="AE516" s="7"/>
    </row>
    <row r="517"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8"/>
      <c r="AC517" s="7"/>
      <c r="AD517" s="8"/>
      <c r="AE517" s="7"/>
    </row>
    <row r="51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8"/>
      <c r="AC518" s="7"/>
      <c r="AD518" s="8"/>
      <c r="AE518" s="7"/>
    </row>
    <row r="519"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8"/>
      <c r="AC519" s="7"/>
      <c r="AD519" s="8"/>
      <c r="AE519" s="7"/>
    </row>
    <row r="520"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8"/>
      <c r="AC520" s="7"/>
      <c r="AD520" s="8"/>
      <c r="AE520" s="7"/>
    </row>
    <row r="521"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8"/>
      <c r="AC521" s="7"/>
      <c r="AD521" s="8"/>
      <c r="AE521" s="7"/>
    </row>
    <row r="522"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8"/>
      <c r="AC522" s="7"/>
      <c r="AD522" s="8"/>
      <c r="AE522" s="7"/>
    </row>
    <row r="523"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8"/>
      <c r="AC523" s="7"/>
      <c r="AD523" s="8"/>
      <c r="AE523" s="7"/>
    </row>
    <row r="524"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8"/>
      <c r="AC524" s="7"/>
      <c r="AD524" s="8"/>
      <c r="AE524" s="7"/>
    </row>
    <row r="525"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8"/>
      <c r="AC525" s="7"/>
      <c r="AD525" s="8"/>
      <c r="AE525" s="7"/>
    </row>
    <row r="5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8"/>
      <c r="AC526" s="7"/>
      <c r="AD526" s="8"/>
      <c r="AE526" s="7"/>
    </row>
    <row r="527"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8"/>
      <c r="AC527" s="7"/>
      <c r="AD527" s="8"/>
      <c r="AE527" s="7"/>
    </row>
    <row r="5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8"/>
      <c r="AC528" s="7"/>
      <c r="AD528" s="8"/>
      <c r="AE528" s="7"/>
    </row>
    <row r="529"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8"/>
      <c r="AC529" s="7"/>
      <c r="AD529" s="8"/>
      <c r="AE529" s="7"/>
    </row>
    <row r="530"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8"/>
      <c r="AC530" s="7"/>
      <c r="AD530" s="8"/>
      <c r="AE530" s="7"/>
    </row>
    <row r="531"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8"/>
      <c r="AC531" s="7"/>
      <c r="AD531" s="8"/>
      <c r="AE531" s="7"/>
    </row>
    <row r="532"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8"/>
      <c r="AC532" s="7"/>
      <c r="AD532" s="8"/>
      <c r="AE532" s="7"/>
    </row>
    <row r="533"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8"/>
      <c r="AC533" s="7"/>
      <c r="AD533" s="8"/>
      <c r="AE533" s="7"/>
    </row>
    <row r="534"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8"/>
      <c r="AC534" s="7"/>
      <c r="AD534" s="8"/>
      <c r="AE534" s="7"/>
    </row>
    <row r="535"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8"/>
      <c r="AC535" s="7"/>
      <c r="AD535" s="8"/>
      <c r="AE535" s="7"/>
    </row>
    <row r="53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8"/>
      <c r="AC536" s="7"/>
      <c r="AD536" s="8"/>
      <c r="AE536" s="7"/>
    </row>
    <row r="537"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8"/>
      <c r="AC537" s="7"/>
      <c r="AD537" s="8"/>
      <c r="AE537" s="7"/>
    </row>
    <row r="53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8"/>
      <c r="AC538" s="7"/>
      <c r="AD538" s="8"/>
      <c r="AE538" s="7"/>
    </row>
    <row r="539"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8"/>
      <c r="AC539" s="7"/>
      <c r="AD539" s="8"/>
      <c r="AE539" s="7"/>
    </row>
    <row r="540"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8"/>
      <c r="AC540" s="7"/>
      <c r="AD540" s="8"/>
      <c r="AE540" s="7"/>
    </row>
    <row r="541"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8"/>
      <c r="AC541" s="7"/>
      <c r="AD541" s="8"/>
      <c r="AE541" s="7"/>
    </row>
    <row r="542"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8"/>
      <c r="AC542" s="7"/>
      <c r="AD542" s="8"/>
      <c r="AE542" s="7"/>
    </row>
    <row r="543"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8"/>
      <c r="AC543" s="7"/>
      <c r="AD543" s="8"/>
      <c r="AE543" s="7"/>
    </row>
    <row r="544"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8"/>
      <c r="AC544" s="7"/>
      <c r="AD544" s="8"/>
      <c r="AE544" s="7"/>
    </row>
    <row r="545"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8"/>
      <c r="AC545" s="7"/>
      <c r="AD545" s="8"/>
      <c r="AE545" s="7"/>
    </row>
    <row r="54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8"/>
      <c r="AC546" s="7"/>
      <c r="AD546" s="8"/>
      <c r="AE546" s="7"/>
    </row>
    <row r="547"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8"/>
      <c r="AC547" s="7"/>
      <c r="AD547" s="8"/>
      <c r="AE547" s="7"/>
    </row>
    <row r="54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8"/>
      <c r="AC548" s="7"/>
      <c r="AD548" s="8"/>
      <c r="AE548" s="7"/>
    </row>
    <row r="549"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8"/>
      <c r="AC549" s="7"/>
      <c r="AD549" s="8"/>
      <c r="AE549" s="7"/>
    </row>
    <row r="550"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8"/>
      <c r="AC550" s="7"/>
      <c r="AD550" s="8"/>
      <c r="AE550" s="7"/>
    </row>
    <row r="551"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8"/>
      <c r="AC551" s="7"/>
      <c r="AD551" s="8"/>
      <c r="AE551" s="7"/>
    </row>
    <row r="552"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8"/>
      <c r="AC552" s="7"/>
      <c r="AD552" s="8"/>
      <c r="AE552" s="7"/>
    </row>
    <row r="553"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8"/>
      <c r="AC553" s="7"/>
      <c r="AD553" s="8"/>
      <c r="AE553" s="7"/>
    </row>
    <row r="554"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8"/>
      <c r="AC554" s="7"/>
      <c r="AD554" s="8"/>
      <c r="AE554" s="7"/>
    </row>
    <row r="555"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8"/>
      <c r="AC555" s="7"/>
      <c r="AD555" s="8"/>
      <c r="AE555" s="7"/>
    </row>
    <row r="55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8"/>
      <c r="AC556" s="7"/>
      <c r="AD556" s="8"/>
      <c r="AE556" s="7"/>
    </row>
    <row r="557"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8"/>
      <c r="AC557" s="7"/>
      <c r="AD557" s="8"/>
      <c r="AE557" s="7"/>
    </row>
    <row r="55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8"/>
      <c r="AC558" s="7"/>
      <c r="AD558" s="8"/>
      <c r="AE558" s="7"/>
    </row>
    <row r="559"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8"/>
      <c r="AC559" s="7"/>
      <c r="AD559" s="8"/>
      <c r="AE559" s="7"/>
    </row>
    <row r="560"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8"/>
      <c r="AC560" s="7"/>
      <c r="AD560" s="8"/>
      <c r="AE560" s="7"/>
    </row>
    <row r="561"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8"/>
      <c r="AC561" s="7"/>
      <c r="AD561" s="8"/>
      <c r="AE561" s="7"/>
    </row>
    <row r="562"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8"/>
      <c r="AC562" s="7"/>
      <c r="AD562" s="8"/>
      <c r="AE562" s="7"/>
    </row>
    <row r="563"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8"/>
      <c r="AC563" s="7"/>
      <c r="AD563" s="8"/>
      <c r="AE563" s="7"/>
    </row>
    <row r="564"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8"/>
      <c r="AC564" s="7"/>
      <c r="AD564" s="8"/>
      <c r="AE564" s="7"/>
    </row>
    <row r="565"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8"/>
      <c r="AC565" s="7"/>
      <c r="AD565" s="8"/>
      <c r="AE565" s="7"/>
    </row>
    <row r="56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8"/>
      <c r="AC566" s="7"/>
      <c r="AD566" s="8"/>
      <c r="AE566" s="7"/>
    </row>
    <row r="567"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8"/>
      <c r="AC567" s="7"/>
      <c r="AD567" s="8"/>
      <c r="AE567" s="7"/>
    </row>
    <row r="56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8"/>
      <c r="AC568" s="7"/>
      <c r="AD568" s="8"/>
      <c r="AE568" s="7"/>
    </row>
    <row r="569"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8"/>
      <c r="AC569" s="7"/>
      <c r="AD569" s="8"/>
      <c r="AE569" s="7"/>
    </row>
    <row r="570"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8"/>
      <c r="AC570" s="7"/>
      <c r="AD570" s="8"/>
      <c r="AE570" s="7"/>
    </row>
    <row r="571"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8"/>
      <c r="AC571" s="7"/>
      <c r="AD571" s="8"/>
      <c r="AE571" s="7"/>
    </row>
    <row r="572"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8"/>
      <c r="AC572" s="7"/>
      <c r="AD572" s="8"/>
      <c r="AE572" s="7"/>
    </row>
    <row r="573"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8"/>
      <c r="AC573" s="7"/>
      <c r="AD573" s="8"/>
      <c r="AE573" s="7"/>
    </row>
    <row r="574"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8"/>
      <c r="AC574" s="7"/>
      <c r="AD574" s="8"/>
      <c r="AE574" s="7"/>
    </row>
    <row r="575"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8"/>
      <c r="AC575" s="7"/>
      <c r="AD575" s="8"/>
      <c r="AE575" s="7"/>
    </row>
    <row r="57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8"/>
      <c r="AC576" s="7"/>
      <c r="AD576" s="8"/>
      <c r="AE576" s="7"/>
    </row>
    <row r="577"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8"/>
      <c r="AC577" s="7"/>
      <c r="AD577" s="8"/>
      <c r="AE577" s="7"/>
    </row>
    <row r="57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8"/>
      <c r="AC578" s="7"/>
      <c r="AD578" s="8"/>
      <c r="AE578" s="7"/>
    </row>
    <row r="579"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8"/>
      <c r="AC579" s="7"/>
      <c r="AD579" s="8"/>
      <c r="AE579" s="7"/>
    </row>
    <row r="580"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8"/>
      <c r="AC580" s="7"/>
      <c r="AD580" s="8"/>
      <c r="AE580" s="7"/>
    </row>
    <row r="581"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8"/>
      <c r="AC581" s="7"/>
      <c r="AD581" s="8"/>
      <c r="AE581" s="7"/>
    </row>
    <row r="582"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8"/>
      <c r="AC582" s="7"/>
      <c r="AD582" s="8"/>
      <c r="AE582" s="7"/>
    </row>
    <row r="583"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8"/>
      <c r="AC583" s="7"/>
      <c r="AD583" s="8"/>
      <c r="AE583" s="7"/>
    </row>
    <row r="584"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8"/>
      <c r="AC584" s="7"/>
      <c r="AD584" s="8"/>
      <c r="AE584" s="7"/>
    </row>
    <row r="585"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8"/>
      <c r="AC585" s="7"/>
      <c r="AD585" s="8"/>
      <c r="AE585" s="7"/>
    </row>
    <row r="58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8"/>
      <c r="AC586" s="7"/>
      <c r="AD586" s="8"/>
      <c r="AE586" s="7"/>
    </row>
    <row r="587"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8"/>
      <c r="AC587" s="7"/>
      <c r="AD587" s="8"/>
      <c r="AE587" s="7"/>
    </row>
    <row r="58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8"/>
      <c r="AC588" s="7"/>
      <c r="AD588" s="8"/>
      <c r="AE588" s="7"/>
    </row>
    <row r="589"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8"/>
      <c r="AC589" s="7"/>
      <c r="AD589" s="8"/>
      <c r="AE589" s="7"/>
    </row>
    <row r="590"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8"/>
      <c r="AC590" s="7"/>
      <c r="AD590" s="8"/>
      <c r="AE590" s="7"/>
    </row>
    <row r="591"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8"/>
      <c r="AC591" s="7"/>
      <c r="AD591" s="8"/>
      <c r="AE591" s="7"/>
    </row>
    <row r="592"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8"/>
      <c r="AC592" s="7"/>
      <c r="AD592" s="8"/>
      <c r="AE592" s="7"/>
    </row>
    <row r="593"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8"/>
      <c r="AC593" s="7"/>
      <c r="AD593" s="8"/>
      <c r="AE593" s="7"/>
    </row>
    <row r="594"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8"/>
      <c r="AC594" s="7"/>
      <c r="AD594" s="8"/>
      <c r="AE594" s="7"/>
    </row>
    <row r="595"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8"/>
      <c r="AC595" s="7"/>
      <c r="AD595" s="8"/>
      <c r="AE595" s="7"/>
    </row>
    <row r="59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8"/>
      <c r="AC596" s="7"/>
      <c r="AD596" s="8"/>
      <c r="AE596" s="7"/>
    </row>
    <row r="597"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8"/>
      <c r="AC597" s="7"/>
      <c r="AD597" s="8"/>
      <c r="AE597" s="7"/>
    </row>
    <row r="59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8"/>
      <c r="AC598" s="7"/>
      <c r="AD598" s="8"/>
      <c r="AE598" s="7"/>
    </row>
    <row r="599"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8"/>
      <c r="AC599" s="7"/>
      <c r="AD599" s="8"/>
      <c r="AE599" s="7"/>
    </row>
    <row r="600"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8"/>
      <c r="AC600" s="7"/>
      <c r="AD600" s="8"/>
      <c r="AE600" s="7"/>
    </row>
    <row r="601"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8"/>
      <c r="AC601" s="7"/>
      <c r="AD601" s="8"/>
      <c r="AE601" s="7"/>
    </row>
    <row r="602"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8"/>
      <c r="AC602" s="7"/>
      <c r="AD602" s="8"/>
      <c r="AE602" s="7"/>
    </row>
    <row r="603"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8"/>
      <c r="AC603" s="7"/>
      <c r="AD603" s="8"/>
      <c r="AE603" s="7"/>
    </row>
    <row r="604"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8"/>
      <c r="AC604" s="7"/>
      <c r="AD604" s="8"/>
      <c r="AE604" s="7"/>
    </row>
    <row r="605"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8"/>
      <c r="AC605" s="7"/>
      <c r="AD605" s="8"/>
      <c r="AE605" s="7"/>
    </row>
    <row r="60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8"/>
      <c r="AC606" s="7"/>
      <c r="AD606" s="8"/>
      <c r="AE606" s="7"/>
    </row>
    <row r="607"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8"/>
      <c r="AC607" s="7"/>
      <c r="AD607" s="8"/>
      <c r="AE607" s="7"/>
    </row>
    <row r="60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8"/>
      <c r="AC608" s="7"/>
      <c r="AD608" s="8"/>
      <c r="AE608" s="7"/>
    </row>
    <row r="609"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8"/>
      <c r="AC609" s="7"/>
      <c r="AD609" s="8"/>
      <c r="AE609" s="7"/>
    </row>
    <row r="610"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8"/>
      <c r="AC610" s="7"/>
      <c r="AD610" s="8"/>
      <c r="AE610" s="7"/>
    </row>
    <row r="611"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8"/>
      <c r="AC611" s="7"/>
      <c r="AD611" s="8"/>
      <c r="AE611" s="7"/>
    </row>
    <row r="612"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8"/>
      <c r="AC612" s="7"/>
      <c r="AD612" s="8"/>
      <c r="AE612" s="7"/>
    </row>
    <row r="613"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8"/>
      <c r="AC613" s="7"/>
      <c r="AD613" s="8"/>
      <c r="AE613" s="7"/>
    </row>
    <row r="614"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8"/>
      <c r="AC614" s="7"/>
      <c r="AD614" s="8"/>
      <c r="AE614" s="7"/>
    </row>
    <row r="615"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8"/>
      <c r="AC615" s="7"/>
      <c r="AD615" s="8"/>
      <c r="AE615" s="7"/>
    </row>
    <row r="61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8"/>
      <c r="AC616" s="7"/>
      <c r="AD616" s="8"/>
      <c r="AE616" s="7"/>
    </row>
    <row r="617"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8"/>
      <c r="AC617" s="7"/>
      <c r="AD617" s="8"/>
      <c r="AE617" s="7"/>
    </row>
    <row r="61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8"/>
      <c r="AC618" s="7"/>
      <c r="AD618" s="8"/>
      <c r="AE618" s="7"/>
    </row>
    <row r="619"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8"/>
      <c r="AC619" s="7"/>
      <c r="AD619" s="8"/>
      <c r="AE619" s="7"/>
    </row>
    <row r="620"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8"/>
      <c r="AC620" s="7"/>
      <c r="AD620" s="8"/>
      <c r="AE620" s="7"/>
    </row>
    <row r="621"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8"/>
      <c r="AC621" s="7"/>
      <c r="AD621" s="8"/>
      <c r="AE621" s="7"/>
    </row>
    <row r="622"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8"/>
      <c r="AC622" s="7"/>
      <c r="AD622" s="8"/>
      <c r="AE622" s="7"/>
    </row>
    <row r="623"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8"/>
      <c r="AC623" s="7"/>
      <c r="AD623" s="8"/>
      <c r="AE623" s="7"/>
    </row>
    <row r="624"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8"/>
      <c r="AC624" s="7"/>
      <c r="AD624" s="8"/>
      <c r="AE624" s="7"/>
    </row>
    <row r="625"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8"/>
      <c r="AC625" s="7"/>
      <c r="AD625" s="8"/>
      <c r="AE625" s="7"/>
    </row>
    <row r="6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8"/>
      <c r="AC626" s="7"/>
      <c r="AD626" s="8"/>
      <c r="AE626" s="7"/>
    </row>
    <row r="627"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8"/>
      <c r="AC627" s="7"/>
      <c r="AD627" s="8"/>
      <c r="AE627" s="7"/>
    </row>
    <row r="6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8"/>
      <c r="AC628" s="7"/>
      <c r="AD628" s="8"/>
      <c r="AE628" s="7"/>
    </row>
    <row r="629"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8"/>
      <c r="AC629" s="7"/>
      <c r="AD629" s="8"/>
      <c r="AE629" s="7"/>
    </row>
    <row r="630"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8"/>
      <c r="AC630" s="7"/>
      <c r="AD630" s="8"/>
      <c r="AE630" s="7"/>
    </row>
    <row r="631"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8"/>
      <c r="AC631" s="7"/>
      <c r="AD631" s="8"/>
      <c r="AE631" s="7"/>
    </row>
    <row r="632"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8"/>
      <c r="AC632" s="7"/>
      <c r="AD632" s="8"/>
      <c r="AE632" s="7"/>
    </row>
    <row r="633"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8"/>
      <c r="AC633" s="7"/>
      <c r="AD633" s="8"/>
      <c r="AE633" s="7"/>
    </row>
    <row r="634"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8"/>
      <c r="AC634" s="7"/>
      <c r="AD634" s="8"/>
      <c r="AE634" s="7"/>
    </row>
    <row r="635"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8"/>
      <c r="AC635" s="7"/>
      <c r="AD635" s="8"/>
      <c r="AE635" s="7"/>
    </row>
    <row r="63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8"/>
      <c r="AC636" s="7"/>
      <c r="AD636" s="8"/>
      <c r="AE636" s="7"/>
    </row>
    <row r="637"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8"/>
      <c r="AC637" s="7"/>
      <c r="AD637" s="8"/>
      <c r="AE637" s="7"/>
    </row>
    <row r="63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8"/>
      <c r="AC638" s="7"/>
      <c r="AD638" s="8"/>
      <c r="AE638" s="7"/>
    </row>
    <row r="639"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8"/>
      <c r="AC639" s="7"/>
      <c r="AD639" s="8"/>
      <c r="AE639" s="7"/>
    </row>
    <row r="640"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8"/>
      <c r="AC640" s="7"/>
      <c r="AD640" s="8"/>
      <c r="AE640" s="7"/>
    </row>
    <row r="641"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8"/>
      <c r="AC641" s="7"/>
      <c r="AD641" s="8"/>
      <c r="AE641" s="7"/>
    </row>
    <row r="642"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8"/>
      <c r="AC642" s="7"/>
      <c r="AD642" s="8"/>
      <c r="AE642" s="7"/>
    </row>
    <row r="643"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8"/>
      <c r="AC643" s="7"/>
      <c r="AD643" s="8"/>
      <c r="AE643" s="7"/>
    </row>
    <row r="644"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8"/>
      <c r="AC644" s="7"/>
      <c r="AD644" s="8"/>
      <c r="AE644" s="7"/>
    </row>
    <row r="645"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8"/>
      <c r="AC645" s="7"/>
      <c r="AD645" s="8"/>
      <c r="AE645" s="7"/>
    </row>
    <row r="64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8"/>
      <c r="AC646" s="7"/>
      <c r="AD646" s="8"/>
      <c r="AE646" s="7"/>
    </row>
    <row r="647"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8"/>
      <c r="AC647" s="7"/>
      <c r="AD647" s="8"/>
      <c r="AE647" s="7"/>
    </row>
    <row r="64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8"/>
      <c r="AC648" s="7"/>
      <c r="AD648" s="8"/>
      <c r="AE648" s="7"/>
    </row>
    <row r="649"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8"/>
      <c r="AC649" s="7"/>
      <c r="AD649" s="8"/>
      <c r="AE649" s="7"/>
    </row>
    <row r="650"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8"/>
      <c r="AC650" s="7"/>
      <c r="AD650" s="8"/>
      <c r="AE650" s="7"/>
    </row>
    <row r="651"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8"/>
      <c r="AC651" s="7"/>
      <c r="AD651" s="8"/>
      <c r="AE651" s="7"/>
    </row>
    <row r="652"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8"/>
      <c r="AC652" s="7"/>
      <c r="AD652" s="8"/>
      <c r="AE652" s="7"/>
    </row>
    <row r="653"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8"/>
      <c r="AC653" s="7"/>
      <c r="AD653" s="8"/>
      <c r="AE653" s="7"/>
    </row>
    <row r="654"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8"/>
      <c r="AC654" s="7"/>
      <c r="AD654" s="8"/>
      <c r="AE654" s="7"/>
    </row>
    <row r="655"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8"/>
      <c r="AC655" s="7"/>
      <c r="AD655" s="8"/>
      <c r="AE655" s="7"/>
    </row>
    <row r="65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8"/>
      <c r="AC656" s="7"/>
      <c r="AD656" s="8"/>
      <c r="AE656" s="7"/>
    </row>
    <row r="657"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8"/>
      <c r="AC657" s="7"/>
      <c r="AD657" s="8"/>
      <c r="AE657" s="7"/>
    </row>
    <row r="65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8"/>
      <c r="AC658" s="7"/>
      <c r="AD658" s="8"/>
      <c r="AE658" s="7"/>
    </row>
    <row r="659"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8"/>
      <c r="AC659" s="7"/>
      <c r="AD659" s="8"/>
      <c r="AE659" s="7"/>
    </row>
    <row r="660"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8"/>
      <c r="AC660" s="7"/>
      <c r="AD660" s="8"/>
      <c r="AE660" s="7"/>
    </row>
    <row r="661"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8"/>
      <c r="AC661" s="7"/>
      <c r="AD661" s="8"/>
      <c r="AE661" s="7"/>
    </row>
    <row r="662"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8"/>
      <c r="AC662" s="7"/>
      <c r="AD662" s="8"/>
      <c r="AE662" s="7"/>
    </row>
    <row r="663"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8"/>
      <c r="AC663" s="7"/>
      <c r="AD663" s="8"/>
      <c r="AE663" s="7"/>
    </row>
    <row r="664"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8"/>
      <c r="AC664" s="7"/>
      <c r="AD664" s="8"/>
      <c r="AE664" s="7"/>
    </row>
    <row r="665"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8"/>
      <c r="AC665" s="7"/>
      <c r="AD665" s="8"/>
      <c r="AE665" s="7"/>
    </row>
    <row r="66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8"/>
      <c r="AC666" s="7"/>
      <c r="AD666" s="8"/>
      <c r="AE666" s="7"/>
    </row>
    <row r="667"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8"/>
      <c r="AC667" s="7"/>
      <c r="AD667" s="8"/>
      <c r="AE667" s="7"/>
    </row>
    <row r="66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8"/>
      <c r="AC668" s="7"/>
      <c r="AD668" s="8"/>
      <c r="AE668" s="7"/>
    </row>
    <row r="669"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8"/>
      <c r="AC669" s="7"/>
      <c r="AD669" s="8"/>
      <c r="AE669" s="7"/>
    </row>
    <row r="670"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8"/>
      <c r="AC670" s="7"/>
      <c r="AD670" s="8"/>
      <c r="AE670" s="7"/>
    </row>
    <row r="671"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8"/>
      <c r="AC671" s="7"/>
      <c r="AD671" s="8"/>
      <c r="AE671" s="7"/>
    </row>
    <row r="672"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8"/>
      <c r="AC672" s="7"/>
      <c r="AD672" s="8"/>
      <c r="AE672" s="7"/>
    </row>
    <row r="673"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8"/>
      <c r="AC673" s="7"/>
      <c r="AD673" s="8"/>
      <c r="AE673" s="7"/>
    </row>
    <row r="674"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8"/>
      <c r="AC674" s="7"/>
      <c r="AD674" s="8"/>
      <c r="AE674" s="7"/>
    </row>
    <row r="675"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8"/>
      <c r="AC675" s="7"/>
      <c r="AD675" s="8"/>
      <c r="AE675" s="7"/>
    </row>
    <row r="67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8"/>
      <c r="AC676" s="7"/>
      <c r="AD676" s="8"/>
      <c r="AE676" s="7"/>
    </row>
    <row r="677"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8"/>
      <c r="AC677" s="7"/>
      <c r="AD677" s="8"/>
      <c r="AE677" s="7"/>
    </row>
    <row r="67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8"/>
      <c r="AC678" s="7"/>
      <c r="AD678" s="8"/>
      <c r="AE678" s="7"/>
    </row>
    <row r="679"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8"/>
      <c r="AC679" s="7"/>
      <c r="AD679" s="8"/>
      <c r="AE679" s="7"/>
    </row>
    <row r="680"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8"/>
      <c r="AC680" s="7"/>
      <c r="AD680" s="8"/>
      <c r="AE680" s="7"/>
    </row>
    <row r="681"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8"/>
      <c r="AC681" s="7"/>
      <c r="AD681" s="8"/>
      <c r="AE681" s="7"/>
    </row>
    <row r="682"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8"/>
      <c r="AC682" s="7"/>
      <c r="AD682" s="8"/>
      <c r="AE682" s="7"/>
    </row>
    <row r="683"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8"/>
      <c r="AC683" s="7"/>
      <c r="AD683" s="8"/>
      <c r="AE683" s="7"/>
    </row>
    <row r="684"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8"/>
      <c r="AC684" s="7"/>
      <c r="AD684" s="8"/>
      <c r="AE684" s="7"/>
    </row>
    <row r="685"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8"/>
      <c r="AC685" s="7"/>
      <c r="AD685" s="8"/>
      <c r="AE685" s="7"/>
    </row>
    <row r="68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8"/>
      <c r="AC686" s="7"/>
      <c r="AD686" s="8"/>
      <c r="AE686" s="7"/>
    </row>
    <row r="687"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8"/>
      <c r="AC687" s="7"/>
      <c r="AD687" s="8"/>
      <c r="AE687" s="7"/>
    </row>
    <row r="68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8"/>
      <c r="AC688" s="7"/>
      <c r="AD688" s="8"/>
      <c r="AE688" s="7"/>
    </row>
    <row r="689"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8"/>
      <c r="AC689" s="7"/>
      <c r="AD689" s="8"/>
      <c r="AE689" s="7"/>
    </row>
    <row r="690"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8"/>
      <c r="AC690" s="7"/>
      <c r="AD690" s="8"/>
      <c r="AE690" s="7"/>
    </row>
    <row r="691"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8"/>
      <c r="AC691" s="7"/>
      <c r="AD691" s="8"/>
      <c r="AE691" s="7"/>
    </row>
    <row r="692"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8"/>
      <c r="AC692" s="7"/>
      <c r="AD692" s="8"/>
      <c r="AE692" s="7"/>
    </row>
    <row r="693"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8"/>
      <c r="AC693" s="7"/>
      <c r="AD693" s="8"/>
      <c r="AE693" s="7"/>
    </row>
    <row r="694"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8"/>
      <c r="AC694" s="7"/>
      <c r="AD694" s="8"/>
      <c r="AE694" s="7"/>
    </row>
    <row r="695"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8"/>
      <c r="AC695" s="7"/>
      <c r="AD695" s="8"/>
      <c r="AE695" s="7"/>
    </row>
    <row r="69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8"/>
      <c r="AC696" s="7"/>
      <c r="AD696" s="8"/>
      <c r="AE696" s="7"/>
    </row>
    <row r="697"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8"/>
      <c r="AC697" s="7"/>
      <c r="AD697" s="8"/>
      <c r="AE697" s="7"/>
    </row>
    <row r="69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8"/>
      <c r="AC698" s="7"/>
      <c r="AD698" s="8"/>
      <c r="AE698" s="7"/>
    </row>
    <row r="699"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8"/>
      <c r="AC699" s="7"/>
      <c r="AD699" s="8"/>
      <c r="AE699" s="7"/>
    </row>
    <row r="700"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8"/>
      <c r="AC700" s="7"/>
      <c r="AD700" s="8"/>
      <c r="AE700" s="7"/>
    </row>
    <row r="701"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8"/>
      <c r="AC701" s="7"/>
      <c r="AD701" s="8"/>
      <c r="AE701" s="7"/>
    </row>
    <row r="702"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8"/>
      <c r="AC702" s="7"/>
      <c r="AD702" s="8"/>
      <c r="AE702" s="7"/>
    </row>
    <row r="703"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8"/>
      <c r="AC703" s="7"/>
      <c r="AD703" s="8"/>
      <c r="AE703" s="7"/>
    </row>
    <row r="704"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8"/>
      <c r="AC704" s="7"/>
      <c r="AD704" s="8"/>
      <c r="AE704" s="7"/>
    </row>
    <row r="705"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8"/>
      <c r="AC705" s="7"/>
      <c r="AD705" s="8"/>
      <c r="AE705" s="7"/>
    </row>
    <row r="70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8"/>
      <c r="AC706" s="7"/>
      <c r="AD706" s="8"/>
      <c r="AE706" s="7"/>
    </row>
    <row r="707"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8"/>
      <c r="AC707" s="7"/>
      <c r="AD707" s="8"/>
      <c r="AE707" s="7"/>
    </row>
    <row r="70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8"/>
      <c r="AC708" s="7"/>
      <c r="AD708" s="8"/>
      <c r="AE708" s="7"/>
    </row>
    <row r="709"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8"/>
      <c r="AC709" s="7"/>
      <c r="AD709" s="8"/>
      <c r="AE709" s="7"/>
    </row>
    <row r="710"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8"/>
      <c r="AC710" s="7"/>
      <c r="AD710" s="8"/>
      <c r="AE710" s="7"/>
    </row>
    <row r="711"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8"/>
      <c r="AC711" s="7"/>
      <c r="AD711" s="8"/>
      <c r="AE711" s="7"/>
    </row>
    <row r="712"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8"/>
      <c r="AC712" s="7"/>
      <c r="AD712" s="8"/>
      <c r="AE712" s="7"/>
    </row>
    <row r="713"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8"/>
      <c r="AC713" s="7"/>
      <c r="AD713" s="8"/>
      <c r="AE713" s="7"/>
    </row>
    <row r="714"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8"/>
      <c r="AC714" s="7"/>
      <c r="AD714" s="8"/>
      <c r="AE714" s="7"/>
    </row>
    <row r="715"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8"/>
      <c r="AC715" s="7"/>
      <c r="AD715" s="8"/>
      <c r="AE715" s="7"/>
    </row>
    <row r="71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8"/>
      <c r="AC716" s="7"/>
      <c r="AD716" s="8"/>
      <c r="AE716" s="7"/>
    </row>
    <row r="717"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8"/>
      <c r="AC717" s="7"/>
      <c r="AD717" s="8"/>
      <c r="AE717" s="7"/>
    </row>
    <row r="71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8"/>
      <c r="AC718" s="7"/>
      <c r="AD718" s="8"/>
      <c r="AE718" s="7"/>
    </row>
    <row r="719"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8"/>
      <c r="AC719" s="7"/>
      <c r="AD719" s="8"/>
      <c r="AE719" s="7"/>
    </row>
    <row r="720"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8"/>
      <c r="AC720" s="7"/>
      <c r="AD720" s="8"/>
      <c r="AE720" s="7"/>
    </row>
    <row r="721"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8"/>
      <c r="AC721" s="7"/>
      <c r="AD721" s="8"/>
      <c r="AE721" s="7"/>
    </row>
    <row r="722"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8"/>
      <c r="AC722" s="7"/>
      <c r="AD722" s="8"/>
      <c r="AE722" s="7"/>
    </row>
    <row r="723"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8"/>
      <c r="AC723" s="7"/>
      <c r="AD723" s="8"/>
      <c r="AE723" s="7"/>
    </row>
    <row r="724"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8"/>
      <c r="AC724" s="7"/>
      <c r="AD724" s="8"/>
      <c r="AE724" s="7"/>
    </row>
    <row r="725"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8"/>
      <c r="AC725" s="7"/>
      <c r="AD725" s="8"/>
      <c r="AE725" s="7"/>
    </row>
    <row r="7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8"/>
      <c r="AC726" s="7"/>
      <c r="AD726" s="8"/>
      <c r="AE726" s="7"/>
    </row>
    <row r="727"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8"/>
      <c r="AC727" s="7"/>
      <c r="AD727" s="8"/>
      <c r="AE727" s="7"/>
    </row>
    <row r="7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8"/>
      <c r="AC728" s="7"/>
      <c r="AD728" s="8"/>
      <c r="AE728" s="7"/>
    </row>
    <row r="729"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8"/>
      <c r="AC729" s="7"/>
      <c r="AD729" s="8"/>
      <c r="AE729" s="7"/>
    </row>
    <row r="730"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8"/>
      <c r="AC730" s="7"/>
      <c r="AD730" s="8"/>
      <c r="AE730" s="7"/>
    </row>
    <row r="731"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8"/>
      <c r="AC731" s="7"/>
      <c r="AD731" s="8"/>
      <c r="AE731" s="7"/>
    </row>
    <row r="732"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8"/>
      <c r="AC732" s="7"/>
      <c r="AD732" s="8"/>
      <c r="AE732" s="7"/>
    </row>
    <row r="733"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8"/>
      <c r="AC733" s="7"/>
      <c r="AD733" s="8"/>
      <c r="AE733" s="7"/>
    </row>
    <row r="734"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8"/>
      <c r="AC734" s="7"/>
      <c r="AD734" s="8"/>
      <c r="AE734" s="7"/>
    </row>
    <row r="735"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8"/>
      <c r="AC735" s="7"/>
      <c r="AD735" s="8"/>
      <c r="AE735" s="7"/>
    </row>
    <row r="73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8"/>
      <c r="AC736" s="7"/>
      <c r="AD736" s="8"/>
      <c r="AE736" s="7"/>
    </row>
    <row r="737"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8"/>
      <c r="AC737" s="7"/>
      <c r="AD737" s="8"/>
      <c r="AE737" s="7"/>
    </row>
    <row r="73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8"/>
      <c r="AC738" s="7"/>
      <c r="AD738" s="8"/>
      <c r="AE738" s="7"/>
    </row>
    <row r="739"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8"/>
      <c r="AC739" s="7"/>
      <c r="AD739" s="8"/>
      <c r="AE739" s="7"/>
    </row>
    <row r="740"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8"/>
      <c r="AC740" s="7"/>
      <c r="AD740" s="8"/>
      <c r="AE740" s="7"/>
    </row>
    <row r="741"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8"/>
      <c r="AC741" s="7"/>
      <c r="AD741" s="8"/>
      <c r="AE741" s="7"/>
    </row>
    <row r="742"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8"/>
      <c r="AC742" s="7"/>
      <c r="AD742" s="8"/>
      <c r="AE742" s="7"/>
    </row>
    <row r="743"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8"/>
      <c r="AC743" s="7"/>
      <c r="AD743" s="8"/>
      <c r="AE743" s="7"/>
    </row>
    <row r="744"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8"/>
      <c r="AC744" s="7"/>
      <c r="AD744" s="8"/>
      <c r="AE744" s="7"/>
    </row>
    <row r="745"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8"/>
      <c r="AC745" s="7"/>
      <c r="AD745" s="8"/>
      <c r="AE745" s="7"/>
    </row>
    <row r="74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8"/>
      <c r="AC746" s="7"/>
      <c r="AD746" s="8"/>
      <c r="AE746" s="7"/>
    </row>
    <row r="747"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8"/>
      <c r="AC747" s="7"/>
      <c r="AD747" s="8"/>
      <c r="AE747" s="7"/>
    </row>
    <row r="74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8"/>
      <c r="AC748" s="7"/>
      <c r="AD748" s="8"/>
      <c r="AE748" s="7"/>
    </row>
    <row r="749"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8"/>
      <c r="AC749" s="7"/>
      <c r="AD749" s="8"/>
      <c r="AE749" s="7"/>
    </row>
    <row r="750"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8"/>
      <c r="AC750" s="7"/>
      <c r="AD750" s="8"/>
      <c r="AE750" s="7"/>
    </row>
    <row r="751"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8"/>
      <c r="AC751" s="7"/>
      <c r="AD751" s="8"/>
      <c r="AE751" s="7"/>
    </row>
    <row r="752"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8"/>
      <c r="AC752" s="7"/>
      <c r="AD752" s="8"/>
      <c r="AE752" s="7"/>
    </row>
    <row r="753"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8"/>
      <c r="AC753" s="7"/>
      <c r="AD753" s="8"/>
      <c r="AE753" s="7"/>
    </row>
    <row r="754"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8"/>
      <c r="AC754" s="7"/>
      <c r="AD754" s="8"/>
      <c r="AE754" s="7"/>
    </row>
    <row r="755"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8"/>
      <c r="AC755" s="7"/>
      <c r="AD755" s="8"/>
      <c r="AE755" s="7"/>
    </row>
    <row r="75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8"/>
      <c r="AC756" s="7"/>
      <c r="AD756" s="8"/>
      <c r="AE756" s="7"/>
    </row>
    <row r="757"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8"/>
      <c r="AC757" s="7"/>
      <c r="AD757" s="8"/>
      <c r="AE757" s="7"/>
    </row>
    <row r="75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8"/>
      <c r="AC758" s="7"/>
      <c r="AD758" s="8"/>
      <c r="AE758" s="7"/>
    </row>
    <row r="759"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8"/>
      <c r="AC759" s="7"/>
      <c r="AD759" s="8"/>
      <c r="AE759" s="7"/>
    </row>
    <row r="760"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8"/>
      <c r="AC760" s="7"/>
      <c r="AD760" s="8"/>
      <c r="AE760" s="7"/>
    </row>
    <row r="761"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8"/>
      <c r="AC761" s="7"/>
      <c r="AD761" s="8"/>
      <c r="AE761" s="7"/>
    </row>
    <row r="762"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8"/>
      <c r="AC762" s="7"/>
      <c r="AD762" s="8"/>
      <c r="AE762" s="7"/>
    </row>
    <row r="763"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8"/>
      <c r="AC763" s="7"/>
      <c r="AD763" s="8"/>
      <c r="AE763" s="7"/>
    </row>
    <row r="764"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8"/>
      <c r="AC764" s="7"/>
      <c r="AD764" s="8"/>
      <c r="AE764" s="7"/>
    </row>
    <row r="765"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8"/>
      <c r="AC765" s="7"/>
      <c r="AD765" s="8"/>
      <c r="AE765" s="7"/>
    </row>
    <row r="76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8"/>
      <c r="AC766" s="7"/>
      <c r="AD766" s="8"/>
      <c r="AE766" s="7"/>
    </row>
    <row r="767"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8"/>
      <c r="AC767" s="7"/>
      <c r="AD767" s="8"/>
      <c r="AE767" s="7"/>
    </row>
    <row r="76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8"/>
      <c r="AC768" s="7"/>
      <c r="AD768" s="8"/>
      <c r="AE768" s="7"/>
    </row>
    <row r="769"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8"/>
      <c r="AC769" s="7"/>
      <c r="AD769" s="8"/>
      <c r="AE769" s="7"/>
    </row>
    <row r="770"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8"/>
      <c r="AC770" s="7"/>
      <c r="AD770" s="8"/>
      <c r="AE770" s="7"/>
    </row>
    <row r="771"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8"/>
      <c r="AC771" s="7"/>
      <c r="AD771" s="8"/>
      <c r="AE771" s="7"/>
    </row>
    <row r="772"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8"/>
      <c r="AC772" s="7"/>
      <c r="AD772" s="8"/>
      <c r="AE772" s="7"/>
    </row>
    <row r="773"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8"/>
      <c r="AC773" s="7"/>
      <c r="AD773" s="8"/>
      <c r="AE773" s="7"/>
    </row>
    <row r="774"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8"/>
      <c r="AC774" s="7"/>
      <c r="AD774" s="8"/>
      <c r="AE774" s="7"/>
    </row>
    <row r="775"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8"/>
      <c r="AC775" s="7"/>
      <c r="AD775" s="8"/>
      <c r="AE775" s="7"/>
    </row>
    <row r="77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8"/>
      <c r="AC776" s="7"/>
      <c r="AD776" s="8"/>
      <c r="AE776" s="7"/>
    </row>
    <row r="777"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8"/>
      <c r="AC777" s="7"/>
      <c r="AD777" s="8"/>
      <c r="AE777" s="7"/>
    </row>
    <row r="77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8"/>
      <c r="AC778" s="7"/>
      <c r="AD778" s="8"/>
      <c r="AE778" s="7"/>
    </row>
    <row r="779"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8"/>
      <c r="AC779" s="7"/>
      <c r="AD779" s="8"/>
      <c r="AE779" s="7"/>
    </row>
    <row r="780"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8"/>
      <c r="AC780" s="7"/>
      <c r="AD780" s="8"/>
      <c r="AE780" s="7"/>
    </row>
    <row r="781"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8"/>
      <c r="AC781" s="7"/>
      <c r="AD781" s="8"/>
      <c r="AE781" s="7"/>
    </row>
    <row r="782"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8"/>
      <c r="AC782" s="7"/>
      <c r="AD782" s="8"/>
      <c r="AE782" s="7"/>
    </row>
    <row r="783"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8"/>
      <c r="AC783" s="7"/>
      <c r="AD783" s="8"/>
      <c r="AE783" s="7"/>
    </row>
    <row r="784"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8"/>
      <c r="AC784" s="7"/>
      <c r="AD784" s="8"/>
      <c r="AE784" s="7"/>
    </row>
    <row r="785"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8"/>
      <c r="AC785" s="7"/>
      <c r="AD785" s="8"/>
      <c r="AE785" s="7"/>
    </row>
    <row r="78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8"/>
      <c r="AC786" s="7"/>
      <c r="AD786" s="8"/>
      <c r="AE786" s="7"/>
    </row>
    <row r="787"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8"/>
      <c r="AC787" s="7"/>
      <c r="AD787" s="8"/>
      <c r="AE787" s="7"/>
    </row>
    <row r="78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8"/>
      <c r="AC788" s="7"/>
      <c r="AD788" s="8"/>
      <c r="AE788" s="7"/>
    </row>
    <row r="789"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8"/>
      <c r="AC789" s="7"/>
      <c r="AD789" s="8"/>
      <c r="AE789" s="7"/>
    </row>
    <row r="790"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8"/>
      <c r="AC790" s="7"/>
      <c r="AD790" s="8"/>
      <c r="AE790" s="7"/>
    </row>
    <row r="791"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8"/>
      <c r="AC791" s="7"/>
      <c r="AD791" s="8"/>
      <c r="AE791" s="7"/>
    </row>
    <row r="792"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8"/>
      <c r="AC792" s="7"/>
      <c r="AD792" s="8"/>
      <c r="AE792" s="7"/>
    </row>
    <row r="793"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8"/>
      <c r="AC793" s="7"/>
      <c r="AD793" s="8"/>
      <c r="AE793" s="7"/>
    </row>
    <row r="794"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8"/>
      <c r="AC794" s="7"/>
      <c r="AD794" s="8"/>
      <c r="AE794" s="7"/>
    </row>
    <row r="795"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8"/>
      <c r="AC795" s="7"/>
      <c r="AD795" s="8"/>
      <c r="AE795" s="7"/>
    </row>
    <row r="79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8"/>
      <c r="AC796" s="7"/>
      <c r="AD796" s="8"/>
      <c r="AE796" s="7"/>
    </row>
    <row r="797"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8"/>
      <c r="AC797" s="7"/>
      <c r="AD797" s="8"/>
      <c r="AE797" s="7"/>
    </row>
    <row r="79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8"/>
      <c r="AC798" s="7"/>
      <c r="AD798" s="8"/>
      <c r="AE798" s="7"/>
    </row>
    <row r="799"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8"/>
      <c r="AC799" s="7"/>
      <c r="AD799" s="8"/>
      <c r="AE799" s="7"/>
    </row>
    <row r="800"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8"/>
      <c r="AC800" s="7"/>
      <c r="AD800" s="8"/>
      <c r="AE800" s="7"/>
    </row>
    <row r="801"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8"/>
      <c r="AC801" s="7"/>
      <c r="AD801" s="8"/>
      <c r="AE801" s="7"/>
    </row>
    <row r="802"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8"/>
      <c r="AC802" s="7"/>
      <c r="AD802" s="8"/>
      <c r="AE802" s="7"/>
    </row>
    <row r="803"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8"/>
      <c r="AC803" s="7"/>
      <c r="AD803" s="8"/>
      <c r="AE803" s="7"/>
    </row>
    <row r="804"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8"/>
      <c r="AC804" s="7"/>
      <c r="AD804" s="8"/>
      <c r="AE804" s="7"/>
    </row>
    <row r="805"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8"/>
      <c r="AC805" s="7"/>
      <c r="AD805" s="8"/>
      <c r="AE805" s="7"/>
    </row>
    <row r="80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8"/>
      <c r="AC806" s="7"/>
      <c r="AD806" s="8"/>
      <c r="AE806" s="7"/>
    </row>
    <row r="807"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8"/>
      <c r="AC807" s="7"/>
      <c r="AD807" s="8"/>
      <c r="AE807" s="7"/>
    </row>
    <row r="80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8"/>
      <c r="AC808" s="7"/>
      <c r="AD808" s="8"/>
      <c r="AE808" s="7"/>
    </row>
    <row r="809"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8"/>
      <c r="AC809" s="7"/>
      <c r="AD809" s="8"/>
      <c r="AE809" s="7"/>
    </row>
    <row r="810"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8"/>
      <c r="AC810" s="7"/>
      <c r="AD810" s="8"/>
      <c r="AE810" s="7"/>
    </row>
    <row r="811"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8"/>
      <c r="AC811" s="7"/>
      <c r="AD811" s="8"/>
      <c r="AE811" s="7"/>
    </row>
    <row r="812"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8"/>
      <c r="AC812" s="7"/>
      <c r="AD812" s="8"/>
      <c r="AE812" s="7"/>
    </row>
    <row r="813"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8"/>
      <c r="AC813" s="7"/>
      <c r="AD813" s="8"/>
      <c r="AE813" s="7"/>
    </row>
    <row r="814"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8"/>
      <c r="AC814" s="7"/>
      <c r="AD814" s="8"/>
      <c r="AE814" s="7"/>
    </row>
    <row r="815"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8"/>
      <c r="AC815" s="7"/>
      <c r="AD815" s="8"/>
      <c r="AE815" s="7"/>
    </row>
    <row r="81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8"/>
      <c r="AC816" s="7"/>
      <c r="AD816" s="8"/>
      <c r="AE816" s="7"/>
    </row>
    <row r="817"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8"/>
      <c r="AC817" s="7"/>
      <c r="AD817" s="8"/>
      <c r="AE817" s="7"/>
    </row>
    <row r="81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8"/>
      <c r="AC818" s="7"/>
      <c r="AD818" s="8"/>
      <c r="AE818" s="7"/>
    </row>
    <row r="819"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8"/>
      <c r="AC819" s="7"/>
      <c r="AD819" s="8"/>
      <c r="AE819" s="7"/>
    </row>
    <row r="820"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8"/>
      <c r="AC820" s="7"/>
      <c r="AD820" s="8"/>
      <c r="AE820" s="7"/>
    </row>
    <row r="821"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8"/>
      <c r="AC821" s="7"/>
      <c r="AD821" s="8"/>
      <c r="AE821" s="7"/>
    </row>
    <row r="822"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8"/>
      <c r="AC822" s="7"/>
      <c r="AD822" s="8"/>
      <c r="AE822" s="7"/>
    </row>
    <row r="823"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8"/>
      <c r="AC823" s="7"/>
      <c r="AD823" s="8"/>
      <c r="AE823" s="7"/>
    </row>
    <row r="824"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8"/>
      <c r="AC824" s="7"/>
      <c r="AD824" s="8"/>
      <c r="AE824" s="7"/>
    </row>
    <row r="825"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8"/>
      <c r="AC825" s="7"/>
      <c r="AD825" s="8"/>
      <c r="AE825" s="7"/>
    </row>
    <row r="8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8"/>
      <c r="AC826" s="7"/>
      <c r="AD826" s="8"/>
      <c r="AE826" s="7"/>
    </row>
    <row r="827"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8"/>
      <c r="AC827" s="7"/>
      <c r="AD827" s="8"/>
      <c r="AE827" s="7"/>
    </row>
    <row r="8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8"/>
      <c r="AC828" s="7"/>
      <c r="AD828" s="8"/>
      <c r="AE828" s="7"/>
    </row>
    <row r="829"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8"/>
      <c r="AC829" s="7"/>
      <c r="AD829" s="8"/>
      <c r="AE829" s="7"/>
    </row>
    <row r="830"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8"/>
      <c r="AC830" s="7"/>
      <c r="AD830" s="8"/>
      <c r="AE830" s="7"/>
    </row>
    <row r="831"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8"/>
      <c r="AC831" s="7"/>
      <c r="AD831" s="8"/>
      <c r="AE831" s="7"/>
    </row>
    <row r="832"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8"/>
      <c r="AC832" s="7"/>
      <c r="AD832" s="8"/>
      <c r="AE832" s="7"/>
    </row>
    <row r="833"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8"/>
      <c r="AC833" s="7"/>
      <c r="AD833" s="8"/>
      <c r="AE833" s="7"/>
    </row>
    <row r="834"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8"/>
      <c r="AC834" s="7"/>
      <c r="AD834" s="8"/>
      <c r="AE834" s="7"/>
    </row>
    <row r="835"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8"/>
      <c r="AC835" s="7"/>
      <c r="AD835" s="8"/>
      <c r="AE835" s="7"/>
    </row>
    <row r="83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8"/>
      <c r="AC836" s="7"/>
      <c r="AD836" s="8"/>
      <c r="AE836" s="7"/>
    </row>
    <row r="837"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8"/>
      <c r="AC837" s="7"/>
      <c r="AD837" s="8"/>
      <c r="AE837" s="7"/>
    </row>
    <row r="83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8"/>
      <c r="AC838" s="7"/>
      <c r="AD838" s="8"/>
      <c r="AE838" s="7"/>
    </row>
    <row r="839"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8"/>
      <c r="AC839" s="7"/>
      <c r="AD839" s="8"/>
      <c r="AE839" s="7"/>
    </row>
    <row r="840"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8"/>
      <c r="AC840" s="7"/>
      <c r="AD840" s="8"/>
      <c r="AE840" s="7"/>
    </row>
    <row r="841"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8"/>
      <c r="AC841" s="7"/>
      <c r="AD841" s="8"/>
      <c r="AE841" s="7"/>
    </row>
    <row r="842"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8"/>
      <c r="AC842" s="7"/>
      <c r="AD842" s="8"/>
      <c r="AE842" s="7"/>
    </row>
    <row r="843"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8"/>
      <c r="AC843" s="7"/>
      <c r="AD843" s="8"/>
      <c r="AE843" s="7"/>
    </row>
    <row r="844"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8"/>
      <c r="AC844" s="7"/>
      <c r="AD844" s="8"/>
      <c r="AE844" s="7"/>
    </row>
    <row r="845"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8"/>
      <c r="AC845" s="7"/>
      <c r="AD845" s="8"/>
      <c r="AE845" s="7"/>
    </row>
    <row r="84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8"/>
      <c r="AC846" s="7"/>
      <c r="AD846" s="8"/>
      <c r="AE846" s="7"/>
    </row>
    <row r="847"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8"/>
      <c r="AC847" s="7"/>
      <c r="AD847" s="8"/>
      <c r="AE847" s="7"/>
    </row>
    <row r="84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8"/>
      <c r="AC848" s="7"/>
      <c r="AD848" s="8"/>
      <c r="AE848" s="7"/>
    </row>
    <row r="849"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8"/>
      <c r="AC849" s="7"/>
      <c r="AD849" s="8"/>
      <c r="AE849" s="7"/>
    </row>
    <row r="850"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8"/>
      <c r="AC850" s="7"/>
      <c r="AD850" s="8"/>
      <c r="AE850" s="7"/>
    </row>
    <row r="851"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8"/>
      <c r="AC851" s="7"/>
      <c r="AD851" s="8"/>
      <c r="AE851" s="7"/>
    </row>
    <row r="852"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8"/>
      <c r="AC852" s="7"/>
      <c r="AD852" s="8"/>
      <c r="AE852" s="7"/>
    </row>
    <row r="853"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8"/>
      <c r="AC853" s="7"/>
      <c r="AD853" s="8"/>
      <c r="AE853" s="7"/>
    </row>
    <row r="854"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8"/>
      <c r="AC854" s="7"/>
      <c r="AD854" s="8"/>
      <c r="AE854" s="7"/>
    </row>
    <row r="855"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8"/>
      <c r="AC855" s="7"/>
      <c r="AD855" s="8"/>
      <c r="AE855" s="7"/>
    </row>
    <row r="85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8"/>
      <c r="AC856" s="7"/>
      <c r="AD856" s="8"/>
      <c r="AE856" s="7"/>
    </row>
    <row r="857"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8"/>
      <c r="AC857" s="7"/>
      <c r="AD857" s="8"/>
      <c r="AE857" s="7"/>
    </row>
    <row r="85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8"/>
      <c r="AC858" s="7"/>
      <c r="AD858" s="8"/>
      <c r="AE858" s="7"/>
    </row>
    <row r="859"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8"/>
      <c r="AC859" s="7"/>
      <c r="AD859" s="8"/>
      <c r="AE859" s="7"/>
    </row>
    <row r="860"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8"/>
      <c r="AC860" s="7"/>
      <c r="AD860" s="8"/>
      <c r="AE860" s="7"/>
    </row>
    <row r="861"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8"/>
      <c r="AC861" s="7"/>
      <c r="AD861" s="8"/>
      <c r="AE861" s="7"/>
    </row>
    <row r="862"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8"/>
      <c r="AC862" s="7"/>
      <c r="AD862" s="8"/>
      <c r="AE862" s="7"/>
    </row>
    <row r="863"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8"/>
      <c r="AC863" s="7"/>
      <c r="AD863" s="8"/>
      <c r="AE863" s="7"/>
    </row>
    <row r="864"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8"/>
      <c r="AC864" s="7"/>
      <c r="AD864" s="8"/>
      <c r="AE864" s="7"/>
    </row>
    <row r="865"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8"/>
      <c r="AC865" s="7"/>
      <c r="AD865" s="8"/>
      <c r="AE865" s="7"/>
    </row>
    <row r="86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8"/>
      <c r="AC866" s="7"/>
      <c r="AD866" s="8"/>
      <c r="AE866" s="7"/>
    </row>
    <row r="867"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8"/>
      <c r="AC867" s="7"/>
      <c r="AD867" s="8"/>
      <c r="AE867" s="7"/>
    </row>
    <row r="86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8"/>
      <c r="AC868" s="7"/>
      <c r="AD868" s="8"/>
      <c r="AE868" s="7"/>
    </row>
    <row r="869"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8"/>
      <c r="AC869" s="7"/>
      <c r="AD869" s="8"/>
      <c r="AE869" s="7"/>
    </row>
    <row r="870"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8"/>
      <c r="AC870" s="7"/>
      <c r="AD870" s="8"/>
      <c r="AE870" s="7"/>
    </row>
    <row r="871"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8"/>
      <c r="AC871" s="7"/>
      <c r="AD871" s="8"/>
      <c r="AE871" s="7"/>
    </row>
    <row r="872"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8"/>
      <c r="AC872" s="7"/>
      <c r="AD872" s="8"/>
      <c r="AE872" s="7"/>
    </row>
    <row r="873"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8"/>
      <c r="AC873" s="7"/>
      <c r="AD873" s="8"/>
      <c r="AE873" s="7"/>
    </row>
    <row r="874"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8"/>
      <c r="AC874" s="7"/>
      <c r="AD874" s="8"/>
      <c r="AE874" s="7"/>
    </row>
    <row r="875"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8"/>
      <c r="AC875" s="7"/>
      <c r="AD875" s="8"/>
      <c r="AE875" s="7"/>
    </row>
    <row r="87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8"/>
      <c r="AC876" s="7"/>
      <c r="AD876" s="8"/>
      <c r="AE876" s="7"/>
    </row>
    <row r="877"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8"/>
      <c r="AC877" s="7"/>
      <c r="AD877" s="8"/>
      <c r="AE877" s="7"/>
    </row>
    <row r="87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8"/>
      <c r="AC878" s="7"/>
      <c r="AD878" s="8"/>
      <c r="AE878" s="7"/>
    </row>
    <row r="879"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8"/>
      <c r="AC879" s="7"/>
      <c r="AD879" s="8"/>
      <c r="AE879" s="7"/>
    </row>
    <row r="880"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8"/>
      <c r="AC880" s="7"/>
      <c r="AD880" s="8"/>
      <c r="AE880" s="7"/>
    </row>
    <row r="881"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8"/>
      <c r="AC881" s="7"/>
      <c r="AD881" s="8"/>
      <c r="AE881" s="7"/>
    </row>
    <row r="882"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8"/>
      <c r="AC882" s="7"/>
      <c r="AD882" s="8"/>
      <c r="AE882" s="7"/>
    </row>
    <row r="883"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8"/>
      <c r="AC883" s="7"/>
      <c r="AD883" s="8"/>
      <c r="AE883" s="7"/>
    </row>
    <row r="884"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8"/>
      <c r="AC884" s="7"/>
      <c r="AD884" s="8"/>
      <c r="AE884" s="7"/>
    </row>
    <row r="885"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8"/>
      <c r="AC885" s="7"/>
      <c r="AD885" s="8"/>
      <c r="AE885" s="7"/>
    </row>
    <row r="88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8"/>
      <c r="AC886" s="7"/>
      <c r="AD886" s="8"/>
      <c r="AE886" s="7"/>
    </row>
    <row r="887"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8"/>
      <c r="AC887" s="7"/>
      <c r="AD887" s="8"/>
      <c r="AE887" s="7"/>
    </row>
    <row r="88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8"/>
      <c r="AC888" s="7"/>
      <c r="AD888" s="8"/>
      <c r="AE888" s="7"/>
    </row>
    <row r="889"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8"/>
      <c r="AC889" s="7"/>
      <c r="AD889" s="8"/>
      <c r="AE889" s="7"/>
    </row>
    <row r="890"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8"/>
      <c r="AC890" s="7"/>
      <c r="AD890" s="8"/>
      <c r="AE890" s="7"/>
    </row>
    <row r="891"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8"/>
      <c r="AC891" s="7"/>
      <c r="AD891" s="8"/>
      <c r="AE891" s="7"/>
    </row>
    <row r="892"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8"/>
      <c r="AC892" s="7"/>
      <c r="AD892" s="8"/>
      <c r="AE892" s="7"/>
    </row>
    <row r="893"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8"/>
      <c r="AC893" s="7"/>
      <c r="AD893" s="8"/>
      <c r="AE893" s="7"/>
    </row>
    <row r="894"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8"/>
      <c r="AC894" s="7"/>
      <c r="AD894" s="8"/>
      <c r="AE894" s="7"/>
    </row>
    <row r="895"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8"/>
      <c r="AC895" s="7"/>
      <c r="AD895" s="8"/>
      <c r="AE895" s="7"/>
    </row>
    <row r="89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8"/>
      <c r="AC896" s="7"/>
      <c r="AD896" s="8"/>
      <c r="AE896" s="7"/>
    </row>
    <row r="897"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8"/>
      <c r="AC897" s="7"/>
      <c r="AD897" s="8"/>
      <c r="AE897" s="7"/>
    </row>
    <row r="89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8"/>
      <c r="AC898" s="7"/>
      <c r="AD898" s="8"/>
      <c r="AE898" s="7"/>
    </row>
    <row r="899"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8"/>
      <c r="AC899" s="7"/>
      <c r="AD899" s="8"/>
      <c r="AE899" s="7"/>
    </row>
    <row r="900"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8"/>
      <c r="AC900" s="7"/>
      <c r="AD900" s="8"/>
      <c r="AE900" s="7"/>
    </row>
    <row r="901"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8"/>
      <c r="AC901" s="7"/>
      <c r="AD901" s="8"/>
      <c r="AE901" s="7"/>
    </row>
    <row r="902"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8"/>
      <c r="AC902" s="7"/>
      <c r="AD902" s="8"/>
      <c r="AE902" s="7"/>
    </row>
    <row r="903"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8"/>
      <c r="AC903" s="7"/>
      <c r="AD903" s="8"/>
      <c r="AE903" s="7"/>
    </row>
    <row r="904"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8"/>
      <c r="AC904" s="7"/>
      <c r="AD904" s="8"/>
      <c r="AE904" s="7"/>
    </row>
    <row r="905"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8"/>
      <c r="AC905" s="7"/>
      <c r="AD905" s="8"/>
      <c r="AE905" s="7"/>
    </row>
    <row r="90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8"/>
      <c r="AC906" s="7"/>
      <c r="AD906" s="8"/>
      <c r="AE906" s="7"/>
    </row>
    <row r="907"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8"/>
      <c r="AC907" s="7"/>
      <c r="AD907" s="8"/>
      <c r="AE907" s="7"/>
    </row>
    <row r="90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8"/>
      <c r="AC908" s="7"/>
      <c r="AD908" s="8"/>
      <c r="AE908" s="7"/>
    </row>
    <row r="909"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8"/>
      <c r="AC909" s="7"/>
      <c r="AD909" s="8"/>
      <c r="AE909" s="7"/>
    </row>
    <row r="910"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8"/>
      <c r="AC910" s="7"/>
      <c r="AD910" s="8"/>
      <c r="AE910" s="7"/>
    </row>
    <row r="911"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8"/>
      <c r="AC911" s="7"/>
      <c r="AD911" s="8"/>
      <c r="AE911" s="7"/>
    </row>
    <row r="912"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8"/>
      <c r="AC912" s="7"/>
      <c r="AD912" s="8"/>
      <c r="AE912" s="7"/>
    </row>
    <row r="913"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8"/>
      <c r="AC913" s="7"/>
      <c r="AD913" s="8"/>
      <c r="AE913" s="7"/>
    </row>
    <row r="914"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8"/>
      <c r="AC914" s="7"/>
      <c r="AD914" s="8"/>
      <c r="AE914" s="7"/>
    </row>
    <row r="915"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8"/>
      <c r="AC915" s="7"/>
      <c r="AD915" s="8"/>
      <c r="AE915" s="7"/>
    </row>
    <row r="91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8"/>
      <c r="AC916" s="7"/>
      <c r="AD916" s="8"/>
      <c r="AE916" s="7"/>
    </row>
    <row r="917"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8"/>
      <c r="AC917" s="7"/>
      <c r="AD917" s="8"/>
      <c r="AE917" s="7"/>
    </row>
    <row r="91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8"/>
      <c r="AC918" s="7"/>
      <c r="AD918" s="8"/>
      <c r="AE918" s="7"/>
    </row>
    <row r="919"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8"/>
      <c r="AC919" s="7"/>
      <c r="AD919" s="8"/>
      <c r="AE919" s="7"/>
    </row>
    <row r="920"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8"/>
      <c r="AC920" s="7"/>
      <c r="AD920" s="8"/>
      <c r="AE920" s="7"/>
    </row>
    <row r="921"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8"/>
      <c r="AC921" s="7"/>
      <c r="AD921" s="8"/>
      <c r="AE921" s="7"/>
    </row>
    <row r="922"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8"/>
      <c r="AC922" s="7"/>
      <c r="AD922" s="8"/>
      <c r="AE922" s="7"/>
    </row>
    <row r="923"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8"/>
      <c r="AC923" s="7"/>
      <c r="AD923" s="8"/>
      <c r="AE923" s="7"/>
    </row>
    <row r="924"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8"/>
      <c r="AC924" s="7"/>
      <c r="AD924" s="8"/>
      <c r="AE924" s="7"/>
    </row>
    <row r="925"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8"/>
      <c r="AC925" s="7"/>
      <c r="AD925" s="8"/>
      <c r="AE925" s="7"/>
    </row>
    <row r="9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8"/>
      <c r="AC926" s="7"/>
      <c r="AD926" s="8"/>
      <c r="AE926" s="7"/>
    </row>
    <row r="927"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8"/>
      <c r="AC927" s="7"/>
      <c r="AD927" s="8"/>
      <c r="AE927" s="7"/>
    </row>
    <row r="9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8"/>
      <c r="AC928" s="7"/>
      <c r="AD928" s="8"/>
      <c r="AE928" s="7"/>
    </row>
    <row r="929"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8"/>
      <c r="AC929" s="7"/>
      <c r="AD929" s="8"/>
      <c r="AE929" s="7"/>
    </row>
    <row r="930"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8"/>
      <c r="AC930" s="7"/>
      <c r="AD930" s="8"/>
      <c r="AE930" s="7"/>
    </row>
    <row r="931"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8"/>
      <c r="AC931" s="7"/>
      <c r="AD931" s="8"/>
      <c r="AE931" s="7"/>
    </row>
    <row r="932"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8"/>
      <c r="AC932" s="7"/>
      <c r="AD932" s="8"/>
      <c r="AE932" s="7"/>
    </row>
    <row r="933"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8"/>
      <c r="AC933" s="7"/>
      <c r="AD933" s="8"/>
      <c r="AE933" s="7"/>
    </row>
    <row r="934"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8"/>
      <c r="AC934" s="7"/>
      <c r="AD934" s="8"/>
      <c r="AE934" s="7"/>
    </row>
    <row r="935"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8"/>
      <c r="AC935" s="7"/>
      <c r="AD935" s="8"/>
      <c r="AE935" s="7"/>
    </row>
    <row r="93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8"/>
      <c r="AC936" s="7"/>
      <c r="AD936" s="8"/>
      <c r="AE936" s="7"/>
    </row>
    <row r="937"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8"/>
      <c r="AC937" s="7"/>
      <c r="AD937" s="8"/>
      <c r="AE937" s="7"/>
    </row>
    <row r="93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8"/>
      <c r="AC938" s="7"/>
      <c r="AD938" s="8"/>
      <c r="AE938" s="7"/>
    </row>
    <row r="939"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8"/>
      <c r="AC939" s="7"/>
      <c r="AD939" s="8"/>
      <c r="AE939" s="7"/>
    </row>
    <row r="940"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8"/>
      <c r="AC940" s="7"/>
      <c r="AD940" s="8"/>
      <c r="AE940" s="7"/>
    </row>
    <row r="941"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8"/>
      <c r="AC941" s="7"/>
      <c r="AD941" s="8"/>
      <c r="AE941" s="7"/>
    </row>
    <row r="942"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8"/>
      <c r="AC942" s="7"/>
      <c r="AD942" s="8"/>
      <c r="AE942" s="7"/>
    </row>
    <row r="943"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8"/>
      <c r="AC943" s="7"/>
      <c r="AD943" s="8"/>
      <c r="AE943" s="7"/>
    </row>
    <row r="944"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8"/>
      <c r="AC944" s="7"/>
      <c r="AD944" s="8"/>
      <c r="AE944" s="7"/>
    </row>
    <row r="945"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8"/>
      <c r="AC945" s="7"/>
      <c r="AD945" s="8"/>
      <c r="AE945" s="7"/>
    </row>
    <row r="94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8"/>
      <c r="AC946" s="7"/>
      <c r="AD946" s="8"/>
      <c r="AE946" s="7"/>
    </row>
    <row r="947"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8"/>
      <c r="AC947" s="7"/>
      <c r="AD947" s="8"/>
      <c r="AE947" s="7"/>
    </row>
    <row r="94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8"/>
      <c r="AC948" s="7"/>
      <c r="AD948" s="8"/>
      <c r="AE948" s="7"/>
    </row>
    <row r="949"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8"/>
      <c r="AC949" s="7"/>
      <c r="AD949" s="8"/>
      <c r="AE949" s="7"/>
    </row>
    <row r="950"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8"/>
      <c r="AC950" s="7"/>
      <c r="AD950" s="8"/>
      <c r="AE950" s="7"/>
    </row>
    <row r="951"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8"/>
      <c r="AC951" s="7"/>
      <c r="AD951" s="8"/>
      <c r="AE951" s="7"/>
    </row>
    <row r="952"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8"/>
      <c r="AC952" s="7"/>
      <c r="AD952" s="8"/>
      <c r="AE952" s="7"/>
    </row>
    <row r="953"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8"/>
      <c r="AC953" s="7"/>
      <c r="AD953" s="8"/>
      <c r="AE953" s="7"/>
    </row>
    <row r="954"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8"/>
      <c r="AC954" s="7"/>
      <c r="AD954" s="8"/>
      <c r="AE954" s="7"/>
    </row>
    <row r="955"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8"/>
      <c r="AC955" s="7"/>
      <c r="AD955" s="8"/>
      <c r="AE955" s="7"/>
    </row>
    <row r="95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8"/>
      <c r="AC956" s="7"/>
      <c r="AD956" s="8"/>
      <c r="AE956" s="7"/>
    </row>
    <row r="957"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8"/>
      <c r="AC957" s="7"/>
      <c r="AD957" s="8"/>
      <c r="AE957" s="7"/>
    </row>
    <row r="95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8"/>
      <c r="AC958" s="7"/>
      <c r="AD958" s="8"/>
      <c r="AE958" s="7"/>
    </row>
    <row r="959"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8"/>
      <c r="AC959" s="7"/>
      <c r="AD959" s="8"/>
      <c r="AE959" s="7"/>
    </row>
    <row r="960"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8"/>
      <c r="AC960" s="7"/>
      <c r="AD960" s="8"/>
      <c r="AE960" s="7"/>
    </row>
    <row r="961"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8"/>
      <c r="AC961" s="7"/>
      <c r="AD961" s="8"/>
      <c r="AE961" s="7"/>
    </row>
    <row r="962"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8"/>
      <c r="AC962" s="7"/>
      <c r="AD962" s="8"/>
      <c r="AE962" s="7"/>
    </row>
    <row r="963"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8"/>
      <c r="AC963" s="7"/>
      <c r="AD963" s="8"/>
      <c r="AE963" s="7"/>
    </row>
    <row r="964"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8"/>
      <c r="AC964" s="7"/>
      <c r="AD964" s="8"/>
      <c r="AE964" s="7"/>
    </row>
    <row r="965"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8"/>
      <c r="AC965" s="7"/>
      <c r="AD965" s="8"/>
      <c r="AE965" s="7"/>
    </row>
    <row r="96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8"/>
      <c r="AC966" s="7"/>
      <c r="AD966" s="8"/>
      <c r="AE966" s="7"/>
    </row>
    <row r="967"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8"/>
      <c r="AC967" s="7"/>
      <c r="AD967" s="8"/>
      <c r="AE967" s="7"/>
    </row>
    <row r="96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8"/>
      <c r="AC968" s="7"/>
      <c r="AD968" s="8"/>
      <c r="AE968" s="7"/>
    </row>
    <row r="969"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8"/>
      <c r="AC969" s="7"/>
      <c r="AD969" s="8"/>
      <c r="AE969" s="7"/>
    </row>
    <row r="970"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8"/>
      <c r="AC970" s="7"/>
      <c r="AD970" s="8"/>
      <c r="AE970" s="7"/>
    </row>
    <row r="971"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8"/>
      <c r="AC971" s="7"/>
      <c r="AD971" s="8"/>
      <c r="AE971" s="7"/>
    </row>
    <row r="972"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8"/>
      <c r="AC972" s="7"/>
      <c r="AD972" s="8"/>
      <c r="AE972" s="7"/>
    </row>
    <row r="973"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8"/>
      <c r="AC973" s="7"/>
      <c r="AD973" s="8"/>
      <c r="AE973" s="7"/>
    </row>
    <row r="974"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8"/>
      <c r="AC974" s="7"/>
      <c r="AD974" s="8"/>
      <c r="AE974" s="7"/>
    </row>
    <row r="975"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8"/>
      <c r="AC975" s="7"/>
      <c r="AD975" s="8"/>
      <c r="AE975" s="7"/>
    </row>
    <row r="97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8"/>
      <c r="AC976" s="7"/>
      <c r="AD976" s="8"/>
      <c r="AE976" s="7"/>
    </row>
    <row r="977"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8"/>
      <c r="AC977" s="7"/>
      <c r="AD977" s="8"/>
      <c r="AE977" s="7"/>
    </row>
    <row r="97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8"/>
      <c r="AC978" s="7"/>
      <c r="AD978" s="8"/>
      <c r="AE978" s="7"/>
    </row>
    <row r="979"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8"/>
      <c r="AC979" s="7"/>
      <c r="AD979" s="8"/>
      <c r="AE979" s="7"/>
    </row>
    <row r="980"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8"/>
      <c r="AC980" s="7"/>
      <c r="AD980" s="8"/>
      <c r="AE980" s="7"/>
    </row>
    <row r="981"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8"/>
      <c r="AC981" s="7"/>
      <c r="AD981" s="8"/>
      <c r="AE981" s="7"/>
    </row>
    <row r="982"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8"/>
      <c r="AC982" s="7"/>
      <c r="AD982" s="8"/>
      <c r="AE982" s="7"/>
    </row>
    <row r="983"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8"/>
      <c r="AC983" s="7"/>
      <c r="AD983" s="8"/>
      <c r="AE983" s="7"/>
    </row>
    <row r="984"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8"/>
      <c r="AC984" s="7"/>
      <c r="AD984" s="8"/>
      <c r="AE984" s="7"/>
    </row>
    <row r="985"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8"/>
      <c r="AC985" s="7"/>
      <c r="AD985" s="8"/>
      <c r="AE985" s="7"/>
    </row>
    <row r="98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8"/>
      <c r="AC986" s="7"/>
      <c r="AD986" s="8"/>
      <c r="AE986" s="7"/>
    </row>
    <row r="987"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8"/>
      <c r="AC987" s="7"/>
      <c r="AD987" s="8"/>
      <c r="AE987" s="7"/>
    </row>
    <row r="98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8"/>
      <c r="AC988" s="7"/>
      <c r="AD988" s="8"/>
      <c r="AE988" s="7"/>
    </row>
    <row r="989"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8"/>
      <c r="AC989" s="7"/>
      <c r="AD989" s="8"/>
      <c r="AE989" s="7"/>
    </row>
    <row r="990"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8"/>
      <c r="AC990" s="7"/>
      <c r="AD990" s="8"/>
      <c r="AE990" s="7"/>
    </row>
    <row r="991"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8"/>
      <c r="AC991" s="7"/>
      <c r="AD991" s="8"/>
      <c r="AE991" s="7"/>
    </row>
    <row r="992"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8"/>
      <c r="AC992" s="7"/>
      <c r="AD992" s="8"/>
      <c r="AE992" s="7"/>
    </row>
    <row r="993"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8"/>
      <c r="AC993" s="7"/>
      <c r="AD993" s="8"/>
      <c r="AE993" s="7"/>
    </row>
    <row r="994"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8"/>
      <c r="AC994" s="7"/>
      <c r="AD994" s="8"/>
      <c r="AE994" s="7"/>
    </row>
    <row r="995"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8"/>
      <c r="AC995" s="7"/>
      <c r="AD995" s="8"/>
      <c r="AE995" s="7"/>
    </row>
    <row r="99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8"/>
      <c r="AC996" s="7"/>
      <c r="AD996" s="8"/>
      <c r="AE996" s="7"/>
    </row>
    <row r="997"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8"/>
      <c r="AC997" s="7"/>
      <c r="AD997" s="8"/>
      <c r="AE997" s="7"/>
    </row>
    <row r="998"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8"/>
      <c r="AC998" s="7"/>
      <c r="AD998" s="8"/>
      <c r="AE998" s="7"/>
    </row>
    <row r="999"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8"/>
      <c r="AC999" s="7"/>
      <c r="AD999" s="8"/>
      <c r="AE999" s="7"/>
    </row>
    <row r="1000" ht="13.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8"/>
      <c r="AC1000" s="7"/>
      <c r="AD1000" s="8"/>
      <c r="AE1000" s="7"/>
    </row>
  </sheetData>
  <mergeCells count="24">
    <mergeCell ref="C5:C6"/>
    <mergeCell ref="C9:C10"/>
    <mergeCell ref="C14:C15"/>
    <mergeCell ref="C18:C20"/>
    <mergeCell ref="C22:C23"/>
    <mergeCell ref="C24:C32"/>
    <mergeCell ref="C41:C42"/>
    <mergeCell ref="C43:C44"/>
    <mergeCell ref="C45:C47"/>
    <mergeCell ref="C48:C50"/>
    <mergeCell ref="C54:C63"/>
    <mergeCell ref="C65:C67"/>
    <mergeCell ref="C68:C70"/>
    <mergeCell ref="C72:C73"/>
    <mergeCell ref="C130:C131"/>
    <mergeCell ref="C133:C134"/>
    <mergeCell ref="C143:C148"/>
    <mergeCell ref="C76:C77"/>
    <mergeCell ref="C80:C81"/>
    <mergeCell ref="C87:C88"/>
    <mergeCell ref="C89:C91"/>
    <mergeCell ref="C96:C99"/>
    <mergeCell ref="C115:C116"/>
    <mergeCell ref="C128:C12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9"/>
    <col customWidth="1" min="2" max="2" width="22.29"/>
    <col customWidth="1" min="3" max="3" width="27.0"/>
    <col customWidth="1" min="4" max="4" width="25.14"/>
    <col customWidth="1" min="5" max="5" width="12.43"/>
    <col customWidth="1" min="6" max="6" width="27.0"/>
    <col customWidth="1" min="7" max="7" width="74.43"/>
    <col customWidth="1" min="8" max="8" width="21.86"/>
    <col customWidth="1" min="9" max="9" width="24.43"/>
    <col customWidth="1" min="10" max="10" width="28.0"/>
    <col customWidth="1" min="11" max="11" width="28.14"/>
    <col customWidth="1" min="12" max="14" width="9.0"/>
    <col customWidth="1" min="15" max="26" width="8.71"/>
  </cols>
  <sheetData>
    <row r="1" ht="20.25" customHeight="1">
      <c r="A1" s="13" t="s">
        <v>616</v>
      </c>
      <c r="B1" s="14" t="s">
        <v>617</v>
      </c>
      <c r="C1" s="14" t="s">
        <v>618</v>
      </c>
      <c r="D1" s="14" t="s">
        <v>5</v>
      </c>
      <c r="E1" s="13" t="s">
        <v>619</v>
      </c>
      <c r="F1" s="14" t="s">
        <v>620</v>
      </c>
      <c r="G1" s="14" t="s">
        <v>621</v>
      </c>
      <c r="H1" s="14" t="s">
        <v>622</v>
      </c>
      <c r="I1" s="14" t="s">
        <v>623</v>
      </c>
      <c r="J1" s="13" t="s">
        <v>624</v>
      </c>
      <c r="K1" s="13" t="s">
        <v>625</v>
      </c>
      <c r="L1" s="13" t="s">
        <v>626</v>
      </c>
      <c r="M1" s="13" t="s">
        <v>627</v>
      </c>
      <c r="N1" s="13" t="s">
        <v>628</v>
      </c>
      <c r="O1" s="13"/>
      <c r="P1" s="13"/>
      <c r="Q1" s="13"/>
      <c r="R1" s="13"/>
      <c r="S1" s="13"/>
      <c r="T1" s="13"/>
      <c r="U1" s="13"/>
      <c r="V1" s="13"/>
      <c r="W1" s="13"/>
      <c r="X1" s="13"/>
      <c r="Y1" s="13"/>
      <c r="Z1" s="13"/>
    </row>
    <row r="2" ht="13.5" customHeight="1">
      <c r="A2" s="6">
        <v>1.0</v>
      </c>
      <c r="B2" s="15" t="s">
        <v>31</v>
      </c>
      <c r="C2" s="6" t="s">
        <v>629</v>
      </c>
      <c r="D2" s="6" t="s">
        <v>33</v>
      </c>
      <c r="E2" s="6">
        <v>2.0</v>
      </c>
      <c r="F2" s="6" t="s">
        <v>630</v>
      </c>
      <c r="G2" s="6"/>
      <c r="H2" s="6" t="s">
        <v>32</v>
      </c>
      <c r="I2" s="6" t="s">
        <v>631</v>
      </c>
      <c r="J2" s="6"/>
      <c r="K2" s="6" t="s">
        <v>632</v>
      </c>
      <c r="L2" s="6"/>
      <c r="M2" s="6"/>
      <c r="N2" s="6"/>
      <c r="O2" s="6"/>
      <c r="P2" s="6"/>
      <c r="Q2" s="6"/>
      <c r="R2" s="6"/>
      <c r="S2" s="6"/>
      <c r="T2" s="6"/>
      <c r="U2" s="6"/>
      <c r="V2" s="6"/>
      <c r="W2" s="6"/>
      <c r="X2" s="6"/>
      <c r="Y2" s="6"/>
      <c r="Z2" s="6"/>
    </row>
    <row r="3" ht="13.5" customHeight="1">
      <c r="A3" s="6">
        <v>2.0</v>
      </c>
      <c r="C3" s="6" t="s">
        <v>633</v>
      </c>
      <c r="D3" s="6" t="s">
        <v>634</v>
      </c>
      <c r="E3" s="6">
        <v>4.0</v>
      </c>
      <c r="F3" s="6" t="s">
        <v>635</v>
      </c>
      <c r="G3" s="6" t="s">
        <v>636</v>
      </c>
      <c r="H3" s="6" t="s">
        <v>631</v>
      </c>
      <c r="I3" s="6" t="s">
        <v>637</v>
      </c>
      <c r="J3" s="6"/>
      <c r="K3" s="6"/>
      <c r="L3" s="10" t="s">
        <v>638</v>
      </c>
      <c r="M3" s="6"/>
      <c r="N3" s="6"/>
      <c r="O3" s="6"/>
      <c r="P3" s="6"/>
      <c r="Q3" s="6"/>
      <c r="R3" s="6"/>
      <c r="S3" s="6"/>
      <c r="T3" s="6"/>
      <c r="U3" s="6"/>
      <c r="V3" s="6"/>
      <c r="W3" s="6"/>
      <c r="X3" s="6"/>
      <c r="Y3" s="6"/>
      <c r="Z3" s="6"/>
    </row>
    <row r="4" ht="13.5" customHeight="1">
      <c r="A4" s="6">
        <v>3.0</v>
      </c>
      <c r="C4" s="6" t="s">
        <v>639</v>
      </c>
      <c r="D4" s="6" t="s">
        <v>640</v>
      </c>
      <c r="E4" s="6" t="s">
        <v>641</v>
      </c>
      <c r="F4" s="6"/>
      <c r="G4" s="6" t="s">
        <v>603</v>
      </c>
      <c r="H4" s="6"/>
      <c r="I4" s="6" t="s">
        <v>603</v>
      </c>
      <c r="J4" s="6"/>
      <c r="K4" s="6"/>
      <c r="L4" s="6"/>
      <c r="M4" s="6"/>
      <c r="N4" s="6"/>
      <c r="O4" s="6"/>
      <c r="P4" s="6"/>
      <c r="Q4" s="6"/>
      <c r="R4" s="6"/>
      <c r="S4" s="6"/>
      <c r="T4" s="6"/>
      <c r="U4" s="6"/>
      <c r="V4" s="6"/>
      <c r="W4" s="6"/>
      <c r="X4" s="6"/>
      <c r="Y4" s="6"/>
      <c r="Z4" s="6"/>
    </row>
    <row r="5" ht="13.5" customHeight="1">
      <c r="A5" s="6">
        <v>4.0</v>
      </c>
      <c r="C5" s="6" t="s">
        <v>642</v>
      </c>
      <c r="D5" s="6" t="s">
        <v>643</v>
      </c>
      <c r="E5" s="6"/>
      <c r="F5" s="6" t="s">
        <v>644</v>
      </c>
      <c r="G5" s="6"/>
      <c r="H5" s="6" t="s">
        <v>645</v>
      </c>
      <c r="I5" s="6"/>
      <c r="J5" s="6"/>
      <c r="K5" s="6" t="s">
        <v>646</v>
      </c>
      <c r="L5" s="6"/>
      <c r="M5" s="6"/>
      <c r="N5" s="6"/>
      <c r="O5" s="6"/>
      <c r="P5" s="6"/>
      <c r="Q5" s="6"/>
      <c r="R5" s="6"/>
      <c r="S5" s="6"/>
      <c r="T5" s="6"/>
      <c r="U5" s="6"/>
      <c r="V5" s="6"/>
      <c r="W5" s="6"/>
      <c r="X5" s="6"/>
      <c r="Y5" s="6"/>
      <c r="Z5" s="6"/>
    </row>
    <row r="6" ht="13.5" customHeight="1">
      <c r="A6" s="6">
        <v>5.0</v>
      </c>
      <c r="B6" s="6" t="s">
        <v>39</v>
      </c>
      <c r="C6" s="6" t="s">
        <v>647</v>
      </c>
      <c r="D6" s="6" t="s">
        <v>648</v>
      </c>
      <c r="E6" s="6">
        <v>2.0</v>
      </c>
      <c r="F6" s="6"/>
      <c r="G6" s="6" t="s">
        <v>649</v>
      </c>
      <c r="H6" s="6" t="s">
        <v>40</v>
      </c>
      <c r="I6" s="6" t="s">
        <v>598</v>
      </c>
      <c r="J6" s="6"/>
      <c r="K6" s="6"/>
      <c r="L6" s="6" t="s">
        <v>650</v>
      </c>
      <c r="M6" s="6"/>
      <c r="N6" s="6" t="s">
        <v>651</v>
      </c>
      <c r="O6" s="6"/>
      <c r="P6" s="6"/>
      <c r="Q6" s="6"/>
      <c r="R6" s="6"/>
      <c r="S6" s="6"/>
      <c r="T6" s="6"/>
      <c r="U6" s="6"/>
      <c r="V6" s="6"/>
      <c r="W6" s="6"/>
      <c r="X6" s="6"/>
      <c r="Y6" s="6"/>
      <c r="Z6" s="6"/>
    </row>
    <row r="7" ht="13.5" customHeight="1">
      <c r="A7" s="6">
        <v>6.0</v>
      </c>
      <c r="C7" s="6" t="s">
        <v>652</v>
      </c>
      <c r="D7" s="6" t="s">
        <v>653</v>
      </c>
      <c r="E7" s="6"/>
      <c r="F7" s="6"/>
      <c r="G7" s="6"/>
      <c r="H7" s="6"/>
      <c r="I7" s="6"/>
      <c r="J7" s="10" t="s">
        <v>654</v>
      </c>
      <c r="K7" s="6"/>
      <c r="L7" s="6"/>
      <c r="M7" s="6"/>
      <c r="N7" s="6"/>
      <c r="O7" s="6"/>
      <c r="P7" s="6"/>
      <c r="Q7" s="6"/>
      <c r="R7" s="6"/>
      <c r="S7" s="6"/>
      <c r="T7" s="6"/>
      <c r="U7" s="6"/>
      <c r="V7" s="6"/>
      <c r="W7" s="6"/>
      <c r="X7" s="6"/>
      <c r="Y7" s="6"/>
      <c r="Z7" s="6"/>
    </row>
    <row r="8" ht="13.5" customHeight="1">
      <c r="A8" s="6">
        <v>7.0</v>
      </c>
      <c r="B8" s="6"/>
      <c r="C8" s="6" t="s">
        <v>655</v>
      </c>
      <c r="D8" s="6" t="s">
        <v>656</v>
      </c>
      <c r="E8" s="6" t="s">
        <v>657</v>
      </c>
      <c r="F8" s="6"/>
      <c r="G8" s="6" t="s">
        <v>658</v>
      </c>
      <c r="H8" s="6" t="s">
        <v>659</v>
      </c>
      <c r="I8" s="6"/>
      <c r="J8" s="6"/>
      <c r="K8" s="6"/>
      <c r="L8" s="6"/>
      <c r="M8" s="10" t="s">
        <v>660</v>
      </c>
      <c r="N8" s="6"/>
      <c r="O8" s="6"/>
      <c r="P8" s="6"/>
      <c r="Q8" s="6"/>
      <c r="R8" s="6"/>
      <c r="S8" s="6"/>
      <c r="T8" s="6"/>
      <c r="U8" s="6"/>
      <c r="V8" s="6"/>
      <c r="W8" s="6"/>
      <c r="X8" s="6"/>
      <c r="Y8" s="6"/>
      <c r="Z8" s="6"/>
    </row>
    <row r="9" ht="15.0" customHeight="1">
      <c r="A9" s="6">
        <v>8.0</v>
      </c>
      <c r="B9" s="6" t="s">
        <v>45</v>
      </c>
      <c r="C9" s="6" t="s">
        <v>661</v>
      </c>
      <c r="D9" s="6" t="s">
        <v>662</v>
      </c>
      <c r="E9" s="6" t="s">
        <v>427</v>
      </c>
      <c r="F9" s="6"/>
      <c r="G9" s="6"/>
      <c r="H9" s="6"/>
      <c r="I9" s="6"/>
      <c r="J9" s="6"/>
      <c r="K9" s="6"/>
      <c r="L9" s="6"/>
      <c r="M9" s="6"/>
      <c r="N9" s="6"/>
      <c r="O9" s="6"/>
      <c r="P9" s="6"/>
      <c r="Q9" s="6"/>
      <c r="R9" s="6"/>
      <c r="S9" s="6"/>
      <c r="T9" s="6"/>
      <c r="U9" s="6"/>
      <c r="V9" s="6"/>
      <c r="W9" s="6"/>
      <c r="X9" s="6"/>
      <c r="Y9" s="6"/>
      <c r="Z9" s="6"/>
    </row>
    <row r="10" ht="13.5" customHeight="1">
      <c r="A10" s="6">
        <v>9.0</v>
      </c>
      <c r="C10" s="6" t="s">
        <v>663</v>
      </c>
      <c r="D10" s="6" t="s">
        <v>664</v>
      </c>
      <c r="E10" s="16" t="s">
        <v>665</v>
      </c>
      <c r="F10" s="6" t="s">
        <v>666</v>
      </c>
      <c r="G10" s="6"/>
      <c r="H10" s="6" t="s">
        <v>667</v>
      </c>
      <c r="I10" s="6" t="s">
        <v>598</v>
      </c>
      <c r="J10" s="6"/>
      <c r="K10" s="6" t="s">
        <v>668</v>
      </c>
      <c r="L10" s="6"/>
      <c r="M10" s="6" t="s">
        <v>669</v>
      </c>
      <c r="N10" s="10" t="s">
        <v>669</v>
      </c>
      <c r="O10" s="6"/>
      <c r="P10" s="6"/>
      <c r="Q10" s="6"/>
      <c r="R10" s="6"/>
      <c r="S10" s="6"/>
      <c r="T10" s="6"/>
      <c r="U10" s="6"/>
      <c r="V10" s="6"/>
      <c r="W10" s="6"/>
      <c r="X10" s="6"/>
      <c r="Y10" s="6"/>
      <c r="Z10" s="6"/>
    </row>
    <row r="11" ht="13.5" customHeight="1">
      <c r="A11" s="6">
        <v>10.0</v>
      </c>
      <c r="B11" s="6" t="s">
        <v>54</v>
      </c>
      <c r="C11" s="6" t="s">
        <v>670</v>
      </c>
      <c r="D11" s="6" t="s">
        <v>671</v>
      </c>
      <c r="E11" s="6" t="s">
        <v>672</v>
      </c>
      <c r="F11" s="6"/>
      <c r="G11" s="6" t="s">
        <v>673</v>
      </c>
      <c r="H11" s="6" t="s">
        <v>674</v>
      </c>
      <c r="I11" s="6"/>
      <c r="J11" s="6"/>
      <c r="K11" s="6"/>
      <c r="L11" s="6"/>
      <c r="M11" s="6"/>
      <c r="N11" s="6"/>
      <c r="O11" s="6"/>
      <c r="P11" s="6"/>
      <c r="Q11" s="6"/>
      <c r="R11" s="6"/>
      <c r="S11" s="6"/>
      <c r="T11" s="6"/>
      <c r="U11" s="6"/>
      <c r="V11" s="6"/>
      <c r="W11" s="6"/>
      <c r="X11" s="6"/>
      <c r="Y11" s="6"/>
      <c r="Z11" s="6"/>
    </row>
    <row r="12" ht="13.5" customHeight="1">
      <c r="A12" s="6">
        <v>11.0</v>
      </c>
      <c r="C12" s="6" t="s">
        <v>675</v>
      </c>
      <c r="D12" s="6" t="s">
        <v>676</v>
      </c>
      <c r="E12" s="6" t="s">
        <v>677</v>
      </c>
      <c r="F12" s="6" t="s">
        <v>678</v>
      </c>
      <c r="G12" s="6" t="s">
        <v>679</v>
      </c>
      <c r="H12" s="6" t="s">
        <v>680</v>
      </c>
      <c r="I12" s="6"/>
      <c r="J12" s="6"/>
      <c r="K12" s="6" t="s">
        <v>681</v>
      </c>
      <c r="L12" s="6"/>
      <c r="M12" s="6"/>
      <c r="N12" s="6"/>
      <c r="O12" s="6"/>
      <c r="P12" s="6"/>
      <c r="Q12" s="6"/>
      <c r="R12" s="6"/>
      <c r="S12" s="6"/>
      <c r="T12" s="6"/>
      <c r="U12" s="6"/>
      <c r="V12" s="6"/>
      <c r="W12" s="6"/>
      <c r="X12" s="6"/>
      <c r="Y12" s="6"/>
      <c r="Z12" s="6"/>
    </row>
    <row r="13" ht="13.5" customHeight="1">
      <c r="A13" s="6">
        <v>12.0</v>
      </c>
      <c r="B13" s="15" t="s">
        <v>63</v>
      </c>
      <c r="C13" s="6" t="s">
        <v>682</v>
      </c>
      <c r="D13" s="6" t="s">
        <v>683</v>
      </c>
      <c r="E13" s="6" t="s">
        <v>665</v>
      </c>
      <c r="F13" s="6" t="s">
        <v>684</v>
      </c>
      <c r="G13" s="6" t="s">
        <v>685</v>
      </c>
      <c r="H13" s="6" t="s">
        <v>686</v>
      </c>
      <c r="I13" s="6" t="s">
        <v>98</v>
      </c>
      <c r="J13" s="6"/>
      <c r="K13" s="6" t="s">
        <v>687</v>
      </c>
      <c r="L13" s="10" t="s">
        <v>688</v>
      </c>
      <c r="M13" s="6" t="s">
        <v>603</v>
      </c>
      <c r="N13" s="6"/>
      <c r="O13" s="6"/>
      <c r="P13" s="6"/>
      <c r="Q13" s="6"/>
      <c r="R13" s="6"/>
      <c r="S13" s="6"/>
      <c r="T13" s="6"/>
      <c r="U13" s="6"/>
      <c r="V13" s="6"/>
      <c r="W13" s="6"/>
      <c r="X13" s="6"/>
      <c r="Y13" s="6"/>
      <c r="Z13" s="6"/>
    </row>
    <row r="14" ht="13.5" customHeight="1">
      <c r="A14" s="6">
        <v>13.0</v>
      </c>
      <c r="B14" s="6" t="s">
        <v>70</v>
      </c>
      <c r="C14" s="6" t="s">
        <v>689</v>
      </c>
      <c r="D14" s="6" t="s">
        <v>72</v>
      </c>
      <c r="E14" s="6" t="s">
        <v>690</v>
      </c>
      <c r="F14" s="6" t="s">
        <v>691</v>
      </c>
      <c r="G14" s="6"/>
      <c r="H14" s="6"/>
      <c r="I14" s="6"/>
      <c r="J14" s="6" t="s">
        <v>692</v>
      </c>
      <c r="K14" s="6"/>
      <c r="L14" s="6"/>
      <c r="M14" s="6"/>
      <c r="N14" s="6" t="s">
        <v>693</v>
      </c>
      <c r="O14" s="6"/>
      <c r="P14" s="6"/>
      <c r="Q14" s="6"/>
      <c r="R14" s="6"/>
      <c r="S14" s="6"/>
      <c r="T14" s="6"/>
      <c r="U14" s="6"/>
      <c r="V14" s="6"/>
      <c r="W14" s="6"/>
      <c r="X14" s="6"/>
      <c r="Y14" s="6"/>
      <c r="Z14" s="6"/>
    </row>
    <row r="15" ht="13.5" customHeight="1">
      <c r="A15" s="6">
        <v>14.0</v>
      </c>
      <c r="C15" s="6" t="s">
        <v>694</v>
      </c>
      <c r="D15" s="6" t="s">
        <v>695</v>
      </c>
      <c r="E15" s="6" t="s">
        <v>696</v>
      </c>
      <c r="F15" s="6" t="s">
        <v>697</v>
      </c>
      <c r="G15" s="6"/>
      <c r="H15" s="6"/>
      <c r="I15" s="6" t="s">
        <v>598</v>
      </c>
      <c r="J15" s="6" t="s">
        <v>698</v>
      </c>
      <c r="K15" s="6" t="s">
        <v>698</v>
      </c>
      <c r="L15" s="6"/>
      <c r="M15" s="6"/>
      <c r="N15" s="6" t="s">
        <v>699</v>
      </c>
      <c r="O15" s="6"/>
      <c r="P15" s="6"/>
      <c r="Q15" s="6"/>
      <c r="R15" s="6"/>
      <c r="S15" s="6"/>
      <c r="T15" s="6"/>
      <c r="U15" s="6"/>
      <c r="V15" s="6"/>
      <c r="W15" s="6"/>
      <c r="X15" s="6"/>
      <c r="Y15" s="6"/>
      <c r="Z15" s="6"/>
    </row>
    <row r="16" ht="18.75" customHeight="1">
      <c r="A16" s="6">
        <v>15.0</v>
      </c>
      <c r="B16" s="6" t="s">
        <v>84</v>
      </c>
      <c r="C16" s="6" t="s">
        <v>700</v>
      </c>
      <c r="D16" s="6" t="s">
        <v>701</v>
      </c>
      <c r="E16" s="6">
        <v>1.0</v>
      </c>
      <c r="F16" s="6" t="s">
        <v>702</v>
      </c>
      <c r="G16" s="6" t="s">
        <v>703</v>
      </c>
      <c r="H16" s="6" t="s">
        <v>81</v>
      </c>
      <c r="I16" s="6" t="s">
        <v>704</v>
      </c>
      <c r="J16" s="6"/>
      <c r="K16" s="10" t="s">
        <v>705</v>
      </c>
      <c r="L16" s="10" t="s">
        <v>705</v>
      </c>
      <c r="M16" s="6" t="s">
        <v>83</v>
      </c>
      <c r="N16" s="6" t="s">
        <v>83</v>
      </c>
      <c r="O16" s="6"/>
      <c r="P16" s="6"/>
      <c r="Q16" s="6"/>
      <c r="R16" s="6"/>
      <c r="S16" s="6"/>
      <c r="T16" s="6"/>
      <c r="U16" s="6"/>
      <c r="V16" s="6"/>
      <c r="W16" s="6"/>
      <c r="X16" s="6"/>
      <c r="Y16" s="6"/>
      <c r="Z16" s="6"/>
    </row>
    <row r="17" ht="19.5" customHeight="1">
      <c r="A17" s="6">
        <v>16.0</v>
      </c>
      <c r="B17" s="6" t="s">
        <v>706</v>
      </c>
      <c r="C17" s="6" t="s">
        <v>707</v>
      </c>
      <c r="D17" s="6" t="s">
        <v>704</v>
      </c>
      <c r="E17" s="6">
        <v>4.0</v>
      </c>
      <c r="F17" s="6" t="s">
        <v>708</v>
      </c>
      <c r="G17" s="6" t="s">
        <v>709</v>
      </c>
      <c r="H17" s="6" t="s">
        <v>710</v>
      </c>
      <c r="I17" s="6" t="s">
        <v>711</v>
      </c>
      <c r="J17" s="6" t="s">
        <v>712</v>
      </c>
      <c r="K17" s="6" t="s">
        <v>713</v>
      </c>
      <c r="L17" s="6" t="s">
        <v>714</v>
      </c>
      <c r="M17" s="6" t="s">
        <v>83</v>
      </c>
      <c r="N17" s="6" t="s">
        <v>712</v>
      </c>
      <c r="O17" s="6"/>
      <c r="P17" s="6"/>
      <c r="Q17" s="6"/>
      <c r="R17" s="6"/>
      <c r="S17" s="6"/>
      <c r="T17" s="6"/>
      <c r="U17" s="6"/>
      <c r="V17" s="6"/>
      <c r="W17" s="6"/>
      <c r="X17" s="6"/>
      <c r="Y17" s="6"/>
      <c r="Z17" s="6"/>
    </row>
    <row r="18" ht="19.5" customHeight="1">
      <c r="A18" s="6">
        <v>17.0</v>
      </c>
      <c r="C18" s="6" t="s">
        <v>715</v>
      </c>
      <c r="D18" s="6" t="s">
        <v>716</v>
      </c>
      <c r="E18" s="6">
        <v>5.0</v>
      </c>
      <c r="F18" s="6"/>
      <c r="H18" s="6" t="s">
        <v>704</v>
      </c>
      <c r="I18" s="6"/>
      <c r="J18" s="6" t="s">
        <v>712</v>
      </c>
      <c r="K18" s="6"/>
      <c r="M18" s="6" t="s">
        <v>712</v>
      </c>
      <c r="N18" s="6"/>
      <c r="O18" s="6"/>
      <c r="P18" s="6"/>
      <c r="Q18" s="6"/>
      <c r="R18" s="6"/>
      <c r="S18" s="6"/>
      <c r="T18" s="6"/>
      <c r="U18" s="6"/>
      <c r="V18" s="6"/>
      <c r="W18" s="6"/>
      <c r="X18" s="6"/>
      <c r="Y18" s="6"/>
      <c r="Z18" s="6"/>
    </row>
    <row r="19" ht="13.5" customHeight="1">
      <c r="A19" s="6">
        <v>18.0</v>
      </c>
      <c r="B19" s="6" t="s">
        <v>89</v>
      </c>
      <c r="C19" s="6" t="s">
        <v>717</v>
      </c>
      <c r="D19" s="6" t="s">
        <v>91</v>
      </c>
      <c r="E19" s="6" t="s">
        <v>665</v>
      </c>
      <c r="F19" s="6"/>
      <c r="G19" s="6" t="s">
        <v>718</v>
      </c>
      <c r="H19" s="6" t="s">
        <v>719</v>
      </c>
      <c r="I19" s="6"/>
      <c r="J19" s="6" t="s">
        <v>720</v>
      </c>
      <c r="K19" s="6"/>
      <c r="L19" s="6" t="s">
        <v>721</v>
      </c>
      <c r="M19" s="6"/>
      <c r="N19" s="6"/>
      <c r="O19" s="6"/>
      <c r="P19" s="6"/>
      <c r="Q19" s="6"/>
      <c r="R19" s="6"/>
      <c r="S19" s="6"/>
      <c r="T19" s="6"/>
      <c r="U19" s="6"/>
      <c r="V19" s="6"/>
      <c r="W19" s="6"/>
      <c r="X19" s="6"/>
      <c r="Y19" s="6"/>
      <c r="Z19" s="6"/>
    </row>
    <row r="20" ht="13.5" customHeight="1">
      <c r="A20" s="6">
        <v>19.0</v>
      </c>
      <c r="B20" s="6" t="s">
        <v>95</v>
      </c>
      <c r="C20" s="6" t="s">
        <v>722</v>
      </c>
      <c r="D20" s="6" t="s">
        <v>723</v>
      </c>
      <c r="E20" s="6" t="s">
        <v>724</v>
      </c>
      <c r="F20" s="6" t="s">
        <v>725</v>
      </c>
      <c r="G20" s="6"/>
      <c r="H20" s="6" t="s">
        <v>96</v>
      </c>
      <c r="I20" s="6"/>
      <c r="J20" s="6" t="s">
        <v>726</v>
      </c>
      <c r="K20" s="6" t="s">
        <v>726</v>
      </c>
      <c r="L20" s="6"/>
      <c r="M20" s="6"/>
      <c r="N20" s="6"/>
      <c r="O20" s="6"/>
      <c r="P20" s="6"/>
      <c r="Q20" s="6"/>
      <c r="R20" s="6"/>
      <c r="S20" s="6"/>
      <c r="T20" s="6"/>
      <c r="U20" s="6"/>
      <c r="V20" s="6"/>
      <c r="W20" s="6"/>
      <c r="X20" s="6"/>
      <c r="Y20" s="6"/>
      <c r="Z20" s="6"/>
    </row>
    <row r="21" ht="13.5" customHeight="1">
      <c r="A21" s="6">
        <v>20.0</v>
      </c>
      <c r="B21" s="6" t="s">
        <v>119</v>
      </c>
      <c r="C21" s="6" t="s">
        <v>727</v>
      </c>
      <c r="D21" s="6" t="s">
        <v>399</v>
      </c>
      <c r="E21" s="6" t="s">
        <v>728</v>
      </c>
      <c r="F21" s="6"/>
      <c r="G21" s="6"/>
      <c r="H21" s="6" t="s">
        <v>729</v>
      </c>
      <c r="I21" s="6"/>
      <c r="J21" s="6"/>
      <c r="K21" s="6"/>
      <c r="L21" s="6"/>
      <c r="M21" s="10" t="s">
        <v>122</v>
      </c>
      <c r="N21" s="6"/>
      <c r="O21" s="6"/>
      <c r="P21" s="6"/>
      <c r="Q21" s="6"/>
      <c r="R21" s="6"/>
      <c r="S21" s="6"/>
      <c r="T21" s="6"/>
      <c r="U21" s="6"/>
      <c r="V21" s="6"/>
      <c r="W21" s="6"/>
      <c r="X21" s="6"/>
      <c r="Y21" s="6"/>
      <c r="Z21" s="6"/>
    </row>
    <row r="22" ht="13.5" customHeight="1">
      <c r="A22" s="6">
        <v>21.0</v>
      </c>
      <c r="B22" s="6" t="s">
        <v>136</v>
      </c>
      <c r="C22" s="6" t="s">
        <v>730</v>
      </c>
      <c r="D22" s="6" t="s">
        <v>731</v>
      </c>
      <c r="E22" s="6" t="s">
        <v>665</v>
      </c>
      <c r="F22" s="6" t="s">
        <v>732</v>
      </c>
      <c r="G22" s="6"/>
      <c r="H22" s="6" t="s">
        <v>137</v>
      </c>
      <c r="I22" s="6" t="s">
        <v>733</v>
      </c>
      <c r="J22" s="6"/>
      <c r="K22" s="6" t="s">
        <v>140</v>
      </c>
      <c r="L22" s="6"/>
      <c r="M22" s="6" t="s">
        <v>140</v>
      </c>
      <c r="N22" s="6" t="s">
        <v>140</v>
      </c>
      <c r="O22" s="6"/>
      <c r="P22" s="6"/>
      <c r="Q22" s="6"/>
      <c r="R22" s="6"/>
      <c r="S22" s="6"/>
      <c r="T22" s="6"/>
      <c r="U22" s="6"/>
      <c r="V22" s="6"/>
      <c r="W22" s="6"/>
      <c r="X22" s="6"/>
      <c r="Y22" s="6"/>
      <c r="Z22" s="6"/>
    </row>
    <row r="23" ht="13.5" customHeight="1">
      <c r="A23" s="6">
        <v>22.0</v>
      </c>
      <c r="C23" s="6" t="s">
        <v>734</v>
      </c>
      <c r="D23" s="6" t="s">
        <v>735</v>
      </c>
      <c r="E23" s="6" t="s">
        <v>724</v>
      </c>
      <c r="F23" s="6" t="s">
        <v>736</v>
      </c>
      <c r="G23" s="6"/>
      <c r="H23" s="6" t="s">
        <v>730</v>
      </c>
      <c r="I23" s="6"/>
      <c r="J23" s="6" t="s">
        <v>737</v>
      </c>
      <c r="K23" s="6" t="s">
        <v>738</v>
      </c>
      <c r="L23" s="6"/>
      <c r="M23" s="6" t="s">
        <v>739</v>
      </c>
      <c r="N23" s="6"/>
      <c r="O23" s="6"/>
      <c r="P23" s="6"/>
      <c r="Q23" s="6"/>
      <c r="R23" s="6"/>
      <c r="S23" s="6"/>
      <c r="T23" s="6"/>
      <c r="U23" s="6"/>
      <c r="V23" s="6"/>
      <c r="W23" s="6"/>
      <c r="X23" s="6"/>
      <c r="Y23" s="6"/>
      <c r="Z23" s="6"/>
    </row>
    <row r="24" ht="16.5" customHeight="1">
      <c r="A24" s="6">
        <v>23.0</v>
      </c>
      <c r="B24" s="6" t="s">
        <v>150</v>
      </c>
      <c r="C24" s="6" t="s">
        <v>740</v>
      </c>
      <c r="D24" s="6" t="s">
        <v>152</v>
      </c>
      <c r="E24" s="6" t="s">
        <v>104</v>
      </c>
      <c r="F24" s="6"/>
      <c r="G24" s="6"/>
      <c r="H24" s="6" t="s">
        <v>741</v>
      </c>
      <c r="I24" s="6"/>
      <c r="J24" s="6" t="s">
        <v>742</v>
      </c>
      <c r="K24" s="6"/>
      <c r="L24" s="6"/>
      <c r="M24" s="6"/>
      <c r="N24" s="6"/>
      <c r="O24" s="6"/>
      <c r="P24" s="6"/>
      <c r="Q24" s="6"/>
      <c r="R24" s="6"/>
      <c r="S24" s="6"/>
      <c r="T24" s="6"/>
      <c r="U24" s="6"/>
      <c r="V24" s="6"/>
      <c r="W24" s="6"/>
      <c r="X24" s="6"/>
      <c r="Y24" s="6"/>
      <c r="Z24" s="6"/>
    </row>
    <row r="25" ht="13.5" customHeight="1">
      <c r="A25" s="6">
        <v>24.0</v>
      </c>
      <c r="B25" s="15" t="s">
        <v>168</v>
      </c>
      <c r="C25" s="6" t="s">
        <v>743</v>
      </c>
      <c r="D25" s="6" t="s">
        <v>744</v>
      </c>
      <c r="E25" s="6" t="s">
        <v>672</v>
      </c>
      <c r="F25" s="6" t="s">
        <v>745</v>
      </c>
      <c r="G25" s="6"/>
      <c r="H25" s="6" t="s">
        <v>746</v>
      </c>
      <c r="I25" s="6" t="s">
        <v>747</v>
      </c>
      <c r="J25" s="6" t="s">
        <v>177</v>
      </c>
      <c r="K25" s="6" t="s">
        <v>172</v>
      </c>
      <c r="L25" s="6"/>
      <c r="M25" s="6" t="s">
        <v>177</v>
      </c>
      <c r="N25" s="6"/>
      <c r="O25" s="6"/>
      <c r="P25" s="6"/>
      <c r="Q25" s="6"/>
      <c r="R25" s="6"/>
      <c r="S25" s="6"/>
      <c r="T25" s="6"/>
      <c r="U25" s="6"/>
      <c r="V25" s="6"/>
      <c r="W25" s="6"/>
      <c r="X25" s="6"/>
      <c r="Y25" s="6"/>
      <c r="Z25" s="6"/>
    </row>
    <row r="26" ht="13.5" customHeight="1">
      <c r="A26" s="6">
        <v>25.0</v>
      </c>
      <c r="C26" s="6" t="s">
        <v>748</v>
      </c>
      <c r="D26" s="6" t="s">
        <v>749</v>
      </c>
      <c r="E26" s="6" t="s">
        <v>750</v>
      </c>
      <c r="F26" s="6"/>
      <c r="G26" s="6"/>
      <c r="H26" s="6" t="s">
        <v>751</v>
      </c>
      <c r="I26" s="6"/>
      <c r="J26" s="10" t="s">
        <v>752</v>
      </c>
      <c r="K26" s="6"/>
      <c r="L26" s="6"/>
      <c r="M26" s="6"/>
      <c r="N26" s="6"/>
      <c r="O26" s="6"/>
      <c r="P26" s="6"/>
      <c r="Q26" s="6"/>
      <c r="R26" s="6"/>
      <c r="S26" s="6"/>
      <c r="T26" s="6"/>
      <c r="U26" s="6"/>
      <c r="V26" s="6"/>
      <c r="W26" s="6"/>
      <c r="X26" s="6"/>
      <c r="Y26" s="6"/>
      <c r="Z26" s="6"/>
    </row>
    <row r="27" ht="13.5" customHeight="1">
      <c r="A27" s="6">
        <v>26.0</v>
      </c>
      <c r="B27" s="6" t="s">
        <v>746</v>
      </c>
      <c r="C27" s="6" t="s">
        <v>753</v>
      </c>
      <c r="D27" s="6" t="s">
        <v>176</v>
      </c>
      <c r="E27" s="6" t="s">
        <v>724</v>
      </c>
      <c r="F27" s="6" t="s">
        <v>754</v>
      </c>
      <c r="G27" s="6"/>
      <c r="H27" s="6" t="s">
        <v>175</v>
      </c>
      <c r="I27" s="6"/>
      <c r="J27" s="6"/>
      <c r="K27" s="6" t="s">
        <v>755</v>
      </c>
      <c r="L27" s="6"/>
      <c r="M27" s="6" t="s">
        <v>755</v>
      </c>
      <c r="N27" s="6"/>
      <c r="O27" s="6"/>
      <c r="P27" s="6"/>
      <c r="Q27" s="6"/>
      <c r="R27" s="6"/>
      <c r="S27" s="6"/>
      <c r="T27" s="6"/>
      <c r="U27" s="6"/>
      <c r="V27" s="6"/>
      <c r="W27" s="6"/>
      <c r="X27" s="6"/>
      <c r="Y27" s="6"/>
      <c r="Z27" s="6"/>
    </row>
    <row r="28" ht="13.5" customHeight="1">
      <c r="A28" s="6">
        <v>27.0</v>
      </c>
      <c r="B28" s="6" t="s">
        <v>180</v>
      </c>
      <c r="C28" s="6" t="s">
        <v>756</v>
      </c>
      <c r="D28" s="6" t="s">
        <v>757</v>
      </c>
      <c r="E28" s="6" t="s">
        <v>758</v>
      </c>
      <c r="F28" s="6" t="s">
        <v>759</v>
      </c>
      <c r="G28" s="6"/>
      <c r="H28" s="6" t="s">
        <v>760</v>
      </c>
      <c r="I28" s="6"/>
      <c r="J28" s="6" t="s">
        <v>761</v>
      </c>
      <c r="K28" s="6" t="s">
        <v>762</v>
      </c>
      <c r="L28" s="6"/>
      <c r="M28" s="6" t="s">
        <v>761</v>
      </c>
      <c r="N28" s="6"/>
      <c r="O28" s="6"/>
      <c r="P28" s="6"/>
      <c r="Q28" s="6"/>
      <c r="R28" s="6"/>
      <c r="S28" s="6"/>
      <c r="T28" s="6"/>
      <c r="U28" s="6"/>
      <c r="V28" s="6"/>
      <c r="W28" s="6"/>
      <c r="X28" s="6"/>
      <c r="Y28" s="6"/>
      <c r="Z28" s="6"/>
    </row>
    <row r="29" ht="13.5" customHeight="1">
      <c r="A29" s="6">
        <v>28.0</v>
      </c>
      <c r="C29" s="6" t="s">
        <v>763</v>
      </c>
      <c r="D29" s="6"/>
      <c r="E29" s="6" t="s">
        <v>764</v>
      </c>
      <c r="F29" s="6"/>
      <c r="G29" s="6"/>
      <c r="H29" s="6"/>
      <c r="I29" s="6"/>
      <c r="J29" s="10" t="s">
        <v>761</v>
      </c>
      <c r="K29" s="6"/>
      <c r="L29" s="6"/>
      <c r="M29" s="6"/>
      <c r="N29" s="6"/>
      <c r="O29" s="6"/>
      <c r="P29" s="6"/>
      <c r="Q29" s="6"/>
      <c r="R29" s="6"/>
      <c r="S29" s="6"/>
      <c r="T29" s="6"/>
      <c r="U29" s="6"/>
      <c r="V29" s="6"/>
      <c r="W29" s="6"/>
      <c r="X29" s="6"/>
      <c r="Y29" s="6"/>
      <c r="Z29" s="6"/>
    </row>
    <row r="30" ht="13.5" customHeight="1">
      <c r="A30" s="6">
        <v>29.0</v>
      </c>
      <c r="B30" s="6" t="s">
        <v>186</v>
      </c>
      <c r="C30" s="6" t="s">
        <v>765</v>
      </c>
      <c r="D30" s="6" t="s">
        <v>188</v>
      </c>
      <c r="E30" s="6" t="s">
        <v>766</v>
      </c>
      <c r="F30" s="6" t="s">
        <v>767</v>
      </c>
      <c r="G30" s="6"/>
      <c r="H30" s="6" t="s">
        <v>187</v>
      </c>
      <c r="I30" s="6" t="s">
        <v>768</v>
      </c>
      <c r="J30" s="6"/>
      <c r="K30" s="6"/>
      <c r="L30" s="6"/>
      <c r="M30" s="6"/>
      <c r="N30" s="6" t="s">
        <v>192</v>
      </c>
      <c r="O30" s="6"/>
      <c r="P30" s="6"/>
      <c r="Q30" s="6"/>
      <c r="R30" s="6"/>
      <c r="S30" s="6"/>
      <c r="T30" s="6"/>
      <c r="U30" s="6"/>
      <c r="V30" s="6"/>
      <c r="W30" s="6"/>
      <c r="X30" s="6"/>
      <c r="Y30" s="6"/>
      <c r="Z30" s="6"/>
    </row>
    <row r="31" ht="13.5" customHeight="1">
      <c r="A31" s="6">
        <v>30.0</v>
      </c>
      <c r="C31" s="6" t="s">
        <v>769</v>
      </c>
      <c r="D31" s="6" t="s">
        <v>770</v>
      </c>
      <c r="E31" s="6" t="s">
        <v>771</v>
      </c>
      <c r="F31" s="6" t="s">
        <v>772</v>
      </c>
      <c r="G31" s="6"/>
      <c r="H31" s="6" t="s">
        <v>765</v>
      </c>
      <c r="I31" s="6"/>
      <c r="J31" s="6" t="s">
        <v>177</v>
      </c>
      <c r="K31" s="6" t="s">
        <v>177</v>
      </c>
      <c r="L31" s="6" t="s">
        <v>177</v>
      </c>
      <c r="M31" s="6"/>
      <c r="N31" s="6"/>
      <c r="O31" s="6"/>
      <c r="P31" s="6"/>
      <c r="Q31" s="6"/>
      <c r="R31" s="6"/>
      <c r="S31" s="6"/>
      <c r="T31" s="6"/>
      <c r="U31" s="6"/>
      <c r="V31" s="6"/>
      <c r="W31" s="6"/>
      <c r="X31" s="6"/>
      <c r="Y31" s="6"/>
      <c r="Z31" s="6"/>
    </row>
    <row r="32" ht="13.5" customHeight="1">
      <c r="A32" s="6">
        <v>31.0</v>
      </c>
      <c r="B32" s="6" t="s">
        <v>773</v>
      </c>
      <c r="C32" s="6" t="s">
        <v>774</v>
      </c>
      <c r="D32" s="6" t="s">
        <v>42</v>
      </c>
      <c r="E32" s="6" t="s">
        <v>724</v>
      </c>
      <c r="F32" s="6" t="s">
        <v>775</v>
      </c>
      <c r="G32" s="6"/>
      <c r="H32" s="6" t="s">
        <v>776</v>
      </c>
      <c r="I32" s="6"/>
      <c r="J32" s="6" t="s">
        <v>777</v>
      </c>
      <c r="K32" s="6" t="s">
        <v>778</v>
      </c>
      <c r="L32" s="6"/>
      <c r="M32" s="6" t="s">
        <v>779</v>
      </c>
      <c r="N32" s="6"/>
      <c r="O32" s="6"/>
      <c r="P32" s="6"/>
      <c r="Q32" s="6"/>
      <c r="R32" s="6"/>
      <c r="S32" s="6"/>
      <c r="T32" s="6"/>
      <c r="U32" s="6"/>
      <c r="V32" s="6"/>
      <c r="W32" s="6"/>
      <c r="X32" s="6"/>
      <c r="Y32" s="6"/>
      <c r="Z32" s="6"/>
    </row>
    <row r="33" ht="13.5" customHeight="1">
      <c r="A33" s="6">
        <v>32.0</v>
      </c>
      <c r="B33" s="6" t="s">
        <v>205</v>
      </c>
      <c r="C33" s="15" t="s">
        <v>780</v>
      </c>
      <c r="D33" s="6" t="s">
        <v>781</v>
      </c>
      <c r="E33" s="6" t="s">
        <v>724</v>
      </c>
      <c r="F33" s="6"/>
      <c r="G33" s="6" t="s">
        <v>782</v>
      </c>
      <c r="H33" s="6" t="s">
        <v>206</v>
      </c>
      <c r="I33" s="6"/>
      <c r="J33" s="6" t="s">
        <v>783</v>
      </c>
      <c r="K33" s="6"/>
      <c r="L33" s="6" t="s">
        <v>784</v>
      </c>
      <c r="M33" s="6"/>
      <c r="N33" s="6"/>
      <c r="O33" s="6"/>
      <c r="P33" s="6"/>
      <c r="Q33" s="6"/>
      <c r="R33" s="6"/>
      <c r="S33" s="6"/>
      <c r="T33" s="6"/>
      <c r="U33" s="6"/>
      <c r="V33" s="6"/>
      <c r="W33" s="6"/>
      <c r="X33" s="6"/>
      <c r="Y33" s="6"/>
      <c r="Z33" s="6"/>
    </row>
    <row r="34" ht="13.5" customHeight="1">
      <c r="A34" s="6">
        <v>33.0</v>
      </c>
      <c r="B34" s="6" t="s">
        <v>785</v>
      </c>
      <c r="C34" s="15" t="s">
        <v>786</v>
      </c>
      <c r="D34" s="6" t="s">
        <v>787</v>
      </c>
      <c r="E34" s="6">
        <v>5.0</v>
      </c>
      <c r="F34" s="6" t="s">
        <v>788</v>
      </c>
      <c r="G34" s="6"/>
      <c r="H34" s="6" t="s">
        <v>789</v>
      </c>
      <c r="I34" s="6"/>
      <c r="J34" s="10" t="s">
        <v>790</v>
      </c>
      <c r="K34" s="6"/>
      <c r="L34" s="6"/>
      <c r="M34" s="6" t="s">
        <v>790</v>
      </c>
      <c r="N34" s="6"/>
      <c r="O34" s="6"/>
      <c r="P34" s="6"/>
      <c r="Q34" s="6"/>
      <c r="R34" s="6"/>
      <c r="S34" s="6"/>
      <c r="T34" s="6"/>
      <c r="U34" s="6"/>
      <c r="V34" s="6"/>
      <c r="W34" s="6"/>
      <c r="X34" s="6"/>
      <c r="Y34" s="6"/>
      <c r="Z34" s="6"/>
    </row>
    <row r="35" ht="13.5" customHeight="1">
      <c r="A35" s="6">
        <v>34.0</v>
      </c>
      <c r="C35" s="15" t="s">
        <v>791</v>
      </c>
      <c r="D35" s="6" t="s">
        <v>792</v>
      </c>
      <c r="E35" s="6">
        <v>5.0</v>
      </c>
      <c r="F35" s="6"/>
      <c r="G35" s="6"/>
      <c r="H35" s="6"/>
      <c r="I35" s="6"/>
      <c r="J35" s="10" t="s">
        <v>793</v>
      </c>
      <c r="K35" s="6"/>
      <c r="L35" s="6"/>
      <c r="M35" s="6"/>
      <c r="N35" s="6"/>
      <c r="O35" s="6"/>
      <c r="P35" s="6"/>
      <c r="Q35" s="6"/>
      <c r="R35" s="6"/>
      <c r="S35" s="6"/>
      <c r="T35" s="6"/>
      <c r="U35" s="6"/>
      <c r="V35" s="6"/>
      <c r="W35" s="6"/>
      <c r="X35" s="6"/>
      <c r="Y35" s="6"/>
      <c r="Z35" s="6"/>
    </row>
    <row r="36" ht="13.5" customHeight="1">
      <c r="A36" s="6">
        <v>35.0</v>
      </c>
      <c r="C36" s="15" t="s">
        <v>794</v>
      </c>
      <c r="D36" s="6" t="s">
        <v>795</v>
      </c>
      <c r="E36" s="6">
        <v>5.0</v>
      </c>
      <c r="F36" s="6"/>
      <c r="G36" s="6"/>
      <c r="H36" s="6"/>
      <c r="I36" s="6"/>
      <c r="J36" s="10" t="s">
        <v>793</v>
      </c>
      <c r="K36" s="6"/>
      <c r="L36" s="6"/>
      <c r="M36" s="6"/>
      <c r="N36" s="6"/>
      <c r="O36" s="6"/>
      <c r="P36" s="6"/>
      <c r="Q36" s="6"/>
      <c r="R36" s="6"/>
      <c r="S36" s="6"/>
      <c r="T36" s="6"/>
      <c r="U36" s="6"/>
      <c r="V36" s="6"/>
      <c r="W36" s="6"/>
      <c r="X36" s="6"/>
      <c r="Y36" s="6"/>
      <c r="Z36" s="6"/>
    </row>
    <row r="37" ht="13.5" customHeight="1">
      <c r="A37" s="6">
        <v>36.0</v>
      </c>
      <c r="C37" s="6" t="s">
        <v>796</v>
      </c>
      <c r="D37" s="6" t="s">
        <v>797</v>
      </c>
      <c r="E37" s="6">
        <v>5.0</v>
      </c>
      <c r="F37" s="6"/>
      <c r="G37" s="6"/>
      <c r="H37" s="6"/>
      <c r="I37" s="6"/>
      <c r="J37" s="10" t="s">
        <v>793</v>
      </c>
      <c r="K37" s="6"/>
      <c r="L37" s="6"/>
      <c r="M37" s="6"/>
      <c r="N37" s="6"/>
      <c r="O37" s="6"/>
      <c r="P37" s="6"/>
      <c r="Q37" s="6"/>
      <c r="R37" s="6"/>
      <c r="S37" s="6"/>
      <c r="T37" s="6"/>
      <c r="U37" s="6"/>
      <c r="V37" s="6"/>
      <c r="W37" s="6"/>
      <c r="X37" s="6"/>
      <c r="Y37" s="6"/>
      <c r="Z37" s="6"/>
    </row>
    <row r="38" ht="13.5" customHeight="1">
      <c r="A38" s="6">
        <v>37.0</v>
      </c>
      <c r="B38" s="6" t="s">
        <v>219</v>
      </c>
      <c r="C38" s="6" t="s">
        <v>798</v>
      </c>
      <c r="D38" s="6" t="s">
        <v>799</v>
      </c>
      <c r="E38" s="6" t="s">
        <v>766</v>
      </c>
      <c r="F38" s="6" t="s">
        <v>800</v>
      </c>
      <c r="G38" s="6"/>
      <c r="H38" s="6"/>
      <c r="I38" s="6"/>
      <c r="J38" s="6" t="s">
        <v>801</v>
      </c>
      <c r="K38" s="6"/>
      <c r="L38" s="6"/>
      <c r="M38" s="6"/>
      <c r="N38" s="6"/>
      <c r="O38" s="6"/>
      <c r="P38" s="6"/>
      <c r="Q38" s="6"/>
      <c r="R38" s="6"/>
      <c r="S38" s="6"/>
      <c r="T38" s="6"/>
      <c r="U38" s="6"/>
      <c r="V38" s="6"/>
      <c r="W38" s="6"/>
      <c r="X38" s="6"/>
      <c r="Y38" s="6"/>
      <c r="Z38" s="6"/>
    </row>
    <row r="39" ht="13.5" customHeight="1">
      <c r="A39" s="6">
        <v>38.0</v>
      </c>
      <c r="C39" s="6" t="s">
        <v>802</v>
      </c>
      <c r="D39" s="6" t="s">
        <v>803</v>
      </c>
      <c r="E39" s="6" t="s">
        <v>804</v>
      </c>
      <c r="F39" s="6" t="s">
        <v>805</v>
      </c>
      <c r="G39" s="6"/>
      <c r="H39" s="6" t="s">
        <v>806</v>
      </c>
      <c r="I39" s="6"/>
      <c r="J39" s="6" t="s">
        <v>801</v>
      </c>
      <c r="K39" s="6" t="s">
        <v>807</v>
      </c>
      <c r="L39" s="6"/>
      <c r="M39" s="6"/>
      <c r="N39" s="6"/>
      <c r="O39" s="6"/>
      <c r="P39" s="6"/>
      <c r="Q39" s="6"/>
      <c r="R39" s="6"/>
      <c r="S39" s="6"/>
      <c r="T39" s="6"/>
      <c r="U39" s="6"/>
      <c r="V39" s="6"/>
      <c r="W39" s="6"/>
      <c r="X39" s="6"/>
      <c r="Y39" s="6"/>
      <c r="Z39" s="6"/>
    </row>
    <row r="40" ht="13.5" customHeight="1">
      <c r="A40" s="6">
        <v>39.0</v>
      </c>
      <c r="B40" s="6" t="s">
        <v>269</v>
      </c>
      <c r="C40" s="6" t="s">
        <v>808</v>
      </c>
      <c r="D40" s="6" t="s">
        <v>809</v>
      </c>
      <c r="E40" s="6" t="s">
        <v>104</v>
      </c>
      <c r="F40" s="6" t="s">
        <v>810</v>
      </c>
      <c r="G40" s="6" t="s">
        <v>811</v>
      </c>
      <c r="H40" s="6" t="s">
        <v>812</v>
      </c>
      <c r="I40" s="6" t="s">
        <v>813</v>
      </c>
      <c r="J40" s="6" t="s">
        <v>814</v>
      </c>
      <c r="K40" s="6" t="s">
        <v>814</v>
      </c>
      <c r="L40" s="6" t="s">
        <v>815</v>
      </c>
      <c r="M40" s="6"/>
      <c r="N40" s="6" t="s">
        <v>816</v>
      </c>
      <c r="O40" s="6"/>
      <c r="P40" s="6"/>
      <c r="Q40" s="6"/>
      <c r="R40" s="6"/>
      <c r="S40" s="6"/>
      <c r="T40" s="6"/>
      <c r="U40" s="6"/>
      <c r="V40" s="6"/>
      <c r="W40" s="6"/>
      <c r="X40" s="6"/>
      <c r="Y40" s="6"/>
      <c r="Z40" s="6"/>
    </row>
    <row r="41" ht="13.5" customHeight="1">
      <c r="A41" s="6">
        <v>40.0</v>
      </c>
      <c r="B41" s="6" t="s">
        <v>288</v>
      </c>
      <c r="C41" s="6" t="s">
        <v>817</v>
      </c>
      <c r="D41" s="6" t="s">
        <v>818</v>
      </c>
      <c r="E41" s="6" t="s">
        <v>665</v>
      </c>
      <c r="F41" s="6"/>
      <c r="G41" s="6"/>
      <c r="H41" s="6" t="s">
        <v>289</v>
      </c>
      <c r="I41" s="6"/>
      <c r="J41" s="6"/>
      <c r="K41" s="6"/>
      <c r="L41" s="6"/>
      <c r="M41" s="6"/>
      <c r="N41" s="6"/>
      <c r="O41" s="6"/>
      <c r="P41" s="6"/>
      <c r="Q41" s="6"/>
      <c r="R41" s="6"/>
      <c r="S41" s="6"/>
      <c r="T41" s="6"/>
      <c r="U41" s="6"/>
      <c r="V41" s="6"/>
      <c r="W41" s="6"/>
      <c r="X41" s="6"/>
      <c r="Y41" s="6"/>
      <c r="Z41" s="6"/>
    </row>
    <row r="42" ht="13.5" customHeight="1">
      <c r="A42" s="6">
        <v>41.0</v>
      </c>
      <c r="B42" s="6" t="s">
        <v>309</v>
      </c>
      <c r="C42" s="6" t="s">
        <v>819</v>
      </c>
      <c r="D42" s="6" t="s">
        <v>315</v>
      </c>
      <c r="E42" s="6">
        <v>1.0</v>
      </c>
      <c r="F42" s="6"/>
      <c r="G42" s="6"/>
      <c r="H42" s="6"/>
      <c r="I42" s="6"/>
      <c r="J42" s="6" t="s">
        <v>820</v>
      </c>
      <c r="K42" s="6"/>
      <c r="L42" s="6"/>
      <c r="M42" s="6"/>
      <c r="N42" s="6"/>
      <c r="O42" s="6"/>
      <c r="P42" s="6"/>
      <c r="Q42" s="6"/>
      <c r="R42" s="6"/>
      <c r="S42" s="6"/>
      <c r="T42" s="6"/>
      <c r="U42" s="6"/>
      <c r="V42" s="6"/>
      <c r="W42" s="6"/>
      <c r="X42" s="6"/>
      <c r="Y42" s="6"/>
      <c r="Z42" s="6"/>
    </row>
    <row r="43" ht="13.5" customHeight="1">
      <c r="A43" s="6">
        <v>42.0</v>
      </c>
      <c r="C43" s="6" t="s">
        <v>821</v>
      </c>
      <c r="D43" s="6" t="s">
        <v>822</v>
      </c>
      <c r="E43" s="6">
        <v>3.0</v>
      </c>
      <c r="F43" s="6" t="s">
        <v>823</v>
      </c>
      <c r="G43" s="6"/>
      <c r="H43" s="6"/>
      <c r="I43" s="6"/>
      <c r="J43" s="6" t="s">
        <v>820</v>
      </c>
      <c r="K43" s="6" t="s">
        <v>820</v>
      </c>
      <c r="L43" s="6"/>
      <c r="M43" s="6"/>
      <c r="N43" s="6"/>
      <c r="O43" s="6"/>
      <c r="P43" s="6"/>
      <c r="Q43" s="6"/>
      <c r="R43" s="6"/>
      <c r="S43" s="6"/>
      <c r="T43" s="6"/>
      <c r="U43" s="6"/>
      <c r="V43" s="6"/>
      <c r="W43" s="6"/>
      <c r="X43" s="6"/>
      <c r="Y43" s="6"/>
      <c r="Z43" s="6"/>
    </row>
    <row r="44" ht="13.5" customHeight="1">
      <c r="A44" s="6">
        <v>43.0</v>
      </c>
      <c r="C44" s="6" t="s">
        <v>824</v>
      </c>
      <c r="D44" s="6" t="s">
        <v>825</v>
      </c>
      <c r="E44" s="6">
        <v>4.0</v>
      </c>
      <c r="F44" s="6"/>
      <c r="G44" s="6" t="s">
        <v>826</v>
      </c>
      <c r="H44" s="6"/>
      <c r="I44" s="6"/>
      <c r="J44" s="6" t="s">
        <v>827</v>
      </c>
      <c r="K44" s="6"/>
      <c r="L44" s="6" t="s">
        <v>828</v>
      </c>
      <c r="M44" s="6"/>
      <c r="N44" s="6"/>
      <c r="O44" s="6"/>
      <c r="P44" s="6"/>
      <c r="Q44" s="6"/>
      <c r="R44" s="6"/>
      <c r="S44" s="6"/>
      <c r="T44" s="6"/>
      <c r="U44" s="6"/>
      <c r="V44" s="6"/>
      <c r="W44" s="6"/>
      <c r="X44" s="6"/>
      <c r="Y44" s="6"/>
      <c r="Z44" s="6"/>
    </row>
    <row r="45" ht="13.5" customHeight="1">
      <c r="A45" s="6">
        <v>44.0</v>
      </c>
      <c r="B45" s="6" t="s">
        <v>325</v>
      </c>
      <c r="C45" s="6" t="s">
        <v>829</v>
      </c>
      <c r="D45" s="6" t="s">
        <v>327</v>
      </c>
      <c r="E45" s="6" t="s">
        <v>830</v>
      </c>
      <c r="F45" s="6"/>
      <c r="G45" s="6"/>
      <c r="H45" s="6"/>
      <c r="I45" s="6"/>
      <c r="J45" s="6"/>
      <c r="K45" s="6"/>
      <c r="L45" s="6"/>
      <c r="M45" s="6"/>
      <c r="N45" s="6"/>
      <c r="O45" s="6"/>
      <c r="P45" s="6"/>
      <c r="Q45" s="6"/>
      <c r="R45" s="6"/>
      <c r="S45" s="6"/>
      <c r="T45" s="6"/>
      <c r="U45" s="6"/>
      <c r="V45" s="6"/>
      <c r="W45" s="6"/>
      <c r="X45" s="6"/>
      <c r="Y45" s="6"/>
      <c r="Z45" s="6"/>
    </row>
    <row r="46" ht="15.0" customHeight="1">
      <c r="A46" s="6">
        <v>45.0</v>
      </c>
      <c r="C46" s="6" t="s">
        <v>831</v>
      </c>
      <c r="D46" s="6" t="s">
        <v>832</v>
      </c>
      <c r="E46" s="6" t="s">
        <v>677</v>
      </c>
      <c r="F46" s="6" t="s">
        <v>833</v>
      </c>
      <c r="G46" s="6"/>
      <c r="H46" s="6" t="s">
        <v>326</v>
      </c>
      <c r="I46" s="6" t="s">
        <v>98</v>
      </c>
      <c r="J46" s="6"/>
      <c r="K46" s="10" t="s">
        <v>834</v>
      </c>
      <c r="L46" s="6"/>
      <c r="M46" s="6"/>
      <c r="N46" s="6"/>
      <c r="O46" s="6"/>
      <c r="P46" s="6"/>
      <c r="Q46" s="6"/>
      <c r="R46" s="6"/>
      <c r="S46" s="6"/>
      <c r="T46" s="6"/>
      <c r="U46" s="6"/>
      <c r="V46" s="6"/>
      <c r="W46" s="6"/>
      <c r="X46" s="6"/>
      <c r="Y46" s="6"/>
      <c r="Z46" s="6"/>
    </row>
    <row r="47" ht="15.0" customHeight="1">
      <c r="A47" s="6">
        <v>46.0</v>
      </c>
      <c r="B47" s="6" t="s">
        <v>378</v>
      </c>
      <c r="C47" s="6" t="s">
        <v>835</v>
      </c>
      <c r="D47" s="6" t="s">
        <v>380</v>
      </c>
      <c r="E47" s="6"/>
      <c r="F47" s="6"/>
      <c r="G47" s="6"/>
      <c r="H47" s="6"/>
      <c r="I47" s="6"/>
      <c r="J47" s="6"/>
      <c r="K47" s="17"/>
      <c r="L47" s="6"/>
      <c r="M47" s="6"/>
      <c r="N47" s="6"/>
      <c r="O47" s="6"/>
      <c r="P47" s="6"/>
      <c r="Q47" s="6"/>
      <c r="R47" s="6"/>
      <c r="S47" s="6"/>
      <c r="T47" s="6"/>
      <c r="U47" s="6"/>
      <c r="V47" s="6"/>
      <c r="W47" s="6"/>
      <c r="X47" s="6"/>
      <c r="Y47" s="6"/>
      <c r="Z47" s="6"/>
    </row>
    <row r="48" ht="15.0" customHeight="1">
      <c r="A48" s="6">
        <v>47.0</v>
      </c>
      <c r="B48" s="6" t="s">
        <v>836</v>
      </c>
      <c r="C48" s="6" t="s">
        <v>837</v>
      </c>
      <c r="D48" s="6" t="s">
        <v>131</v>
      </c>
      <c r="E48" s="6" t="s">
        <v>838</v>
      </c>
      <c r="F48" s="6" t="s">
        <v>839</v>
      </c>
      <c r="G48" s="6"/>
      <c r="H48" s="6" t="s">
        <v>840</v>
      </c>
      <c r="I48" s="6"/>
      <c r="J48" s="6"/>
      <c r="K48" s="6" t="s">
        <v>134</v>
      </c>
      <c r="L48" s="6"/>
      <c r="M48" s="6" t="s">
        <v>134</v>
      </c>
      <c r="N48" s="6"/>
      <c r="O48" s="6"/>
      <c r="P48" s="6"/>
      <c r="Q48" s="6"/>
      <c r="R48" s="6"/>
      <c r="S48" s="6"/>
      <c r="T48" s="6"/>
      <c r="U48" s="6"/>
      <c r="V48" s="6"/>
      <c r="W48" s="6"/>
      <c r="X48" s="6"/>
      <c r="Y48" s="6"/>
      <c r="Z48" s="6"/>
    </row>
    <row r="49" ht="13.5" customHeight="1">
      <c r="A49" s="6">
        <v>48.0</v>
      </c>
      <c r="B49" s="6" t="s">
        <v>841</v>
      </c>
      <c r="C49" s="6" t="s">
        <v>842</v>
      </c>
      <c r="D49" s="6" t="s">
        <v>338</v>
      </c>
      <c r="E49" s="6" t="s">
        <v>843</v>
      </c>
      <c r="F49" s="6" t="s">
        <v>844</v>
      </c>
      <c r="G49" s="6"/>
      <c r="H49" s="6" t="s">
        <v>337</v>
      </c>
      <c r="I49" s="6"/>
      <c r="J49" s="6"/>
      <c r="K49" s="6" t="s">
        <v>845</v>
      </c>
      <c r="L49" s="6"/>
      <c r="M49" s="6" t="s">
        <v>341</v>
      </c>
      <c r="N49" s="6"/>
      <c r="O49" s="6"/>
      <c r="P49" s="6"/>
      <c r="Q49" s="6"/>
      <c r="R49" s="6"/>
      <c r="S49" s="6"/>
      <c r="T49" s="6"/>
      <c r="U49" s="6"/>
      <c r="V49" s="6"/>
      <c r="W49" s="6"/>
      <c r="X49" s="6"/>
      <c r="Y49" s="6"/>
      <c r="Z49" s="6"/>
    </row>
    <row r="50" ht="13.5" customHeight="1">
      <c r="A50" s="6">
        <v>49.0</v>
      </c>
      <c r="B50" s="15" t="s">
        <v>363</v>
      </c>
      <c r="C50" s="6" t="s">
        <v>846</v>
      </c>
      <c r="D50" s="6" t="s">
        <v>517</v>
      </c>
      <c r="E50" s="6" t="s">
        <v>724</v>
      </c>
      <c r="F50" s="6"/>
      <c r="G50" s="6"/>
      <c r="H50" s="6"/>
      <c r="I50" s="6"/>
      <c r="J50" s="6" t="s">
        <v>847</v>
      </c>
      <c r="K50" s="6"/>
      <c r="L50" s="6"/>
      <c r="M50" s="6"/>
      <c r="N50" s="6"/>
      <c r="O50" s="6"/>
      <c r="P50" s="6"/>
      <c r="Q50" s="6"/>
      <c r="R50" s="6"/>
      <c r="S50" s="6"/>
      <c r="T50" s="6"/>
      <c r="U50" s="6"/>
      <c r="V50" s="6"/>
      <c r="W50" s="6"/>
      <c r="X50" s="6"/>
      <c r="Y50" s="6"/>
      <c r="Z50" s="6"/>
    </row>
    <row r="51" ht="13.5" customHeight="1">
      <c r="A51" s="6">
        <v>50.0</v>
      </c>
      <c r="C51" s="6" t="s">
        <v>848</v>
      </c>
      <c r="D51" s="6" t="s">
        <v>517</v>
      </c>
      <c r="E51" s="6" t="s">
        <v>724</v>
      </c>
      <c r="F51" s="6"/>
      <c r="G51" s="6"/>
      <c r="H51" s="6"/>
      <c r="I51" s="6"/>
      <c r="J51" s="6" t="s">
        <v>847</v>
      </c>
      <c r="K51" s="6"/>
      <c r="L51" s="6"/>
      <c r="M51" s="6"/>
      <c r="N51" s="6"/>
      <c r="O51" s="6"/>
      <c r="P51" s="6"/>
      <c r="Q51" s="6"/>
      <c r="R51" s="6"/>
      <c r="S51" s="6"/>
      <c r="T51" s="6"/>
      <c r="U51" s="6"/>
      <c r="V51" s="6"/>
      <c r="W51" s="6"/>
      <c r="X51" s="6"/>
      <c r="Y51" s="6"/>
      <c r="Z51" s="6"/>
    </row>
    <row r="52" ht="13.5" customHeight="1">
      <c r="A52" s="6">
        <v>51.0</v>
      </c>
      <c r="C52" s="6" t="s">
        <v>849</v>
      </c>
      <c r="D52" s="6" t="s">
        <v>850</v>
      </c>
      <c r="E52" s="6">
        <v>4.0</v>
      </c>
      <c r="F52" s="6" t="s">
        <v>851</v>
      </c>
      <c r="G52" s="6"/>
      <c r="H52" s="6"/>
      <c r="I52" s="6"/>
      <c r="J52" s="6"/>
      <c r="K52" s="6"/>
      <c r="L52" s="6"/>
      <c r="M52" s="6" t="s">
        <v>847</v>
      </c>
      <c r="N52" s="6"/>
      <c r="O52" s="6"/>
      <c r="P52" s="6"/>
      <c r="Q52" s="6"/>
      <c r="R52" s="6"/>
      <c r="S52" s="6"/>
      <c r="T52" s="6"/>
      <c r="U52" s="6"/>
      <c r="V52" s="6"/>
      <c r="W52" s="6"/>
      <c r="X52" s="6"/>
      <c r="Y52" s="6"/>
      <c r="Z52" s="6"/>
    </row>
    <row r="53" ht="13.5" customHeight="1">
      <c r="A53" s="6">
        <v>52.0</v>
      </c>
      <c r="B53" s="6" t="s">
        <v>378</v>
      </c>
      <c r="C53" s="6" t="s">
        <v>852</v>
      </c>
      <c r="D53" s="6" t="s">
        <v>853</v>
      </c>
      <c r="E53" s="6" t="s">
        <v>843</v>
      </c>
      <c r="F53" s="6" t="s">
        <v>854</v>
      </c>
      <c r="G53" s="6"/>
      <c r="H53" s="6"/>
      <c r="I53" s="6"/>
      <c r="J53" s="10" t="s">
        <v>855</v>
      </c>
      <c r="K53" s="6" t="s">
        <v>382</v>
      </c>
      <c r="L53" s="6"/>
      <c r="M53" s="6"/>
      <c r="N53" s="6"/>
      <c r="O53" s="6"/>
      <c r="P53" s="6"/>
      <c r="Q53" s="6"/>
      <c r="R53" s="6"/>
      <c r="S53" s="6"/>
      <c r="T53" s="6"/>
      <c r="U53" s="6"/>
      <c r="V53" s="6"/>
      <c r="W53" s="6"/>
      <c r="X53" s="6"/>
      <c r="Y53" s="6"/>
      <c r="Z53" s="6"/>
    </row>
    <row r="54" ht="13.5" customHeight="1">
      <c r="A54" s="6">
        <v>53.0</v>
      </c>
      <c r="B54" s="15" t="s">
        <v>415</v>
      </c>
      <c r="C54" s="6" t="s">
        <v>856</v>
      </c>
      <c r="D54" s="6" t="s">
        <v>857</v>
      </c>
      <c r="E54" s="6" t="s">
        <v>858</v>
      </c>
      <c r="F54" s="6" t="s">
        <v>859</v>
      </c>
      <c r="G54" s="6"/>
      <c r="H54" s="6" t="s">
        <v>416</v>
      </c>
      <c r="I54" s="6"/>
      <c r="J54" s="6" t="s">
        <v>860</v>
      </c>
      <c r="K54" s="6" t="s">
        <v>861</v>
      </c>
      <c r="L54" s="6"/>
      <c r="M54" s="6" t="s">
        <v>862</v>
      </c>
      <c r="N54" s="6" t="s">
        <v>862</v>
      </c>
      <c r="O54" s="6"/>
      <c r="P54" s="6"/>
      <c r="Q54" s="6"/>
      <c r="R54" s="6"/>
      <c r="S54" s="6"/>
      <c r="T54" s="6"/>
      <c r="U54" s="6"/>
      <c r="V54" s="6"/>
      <c r="W54" s="6"/>
      <c r="X54" s="6"/>
      <c r="Y54" s="6"/>
      <c r="Z54" s="6"/>
    </row>
    <row r="55" ht="13.5" customHeight="1">
      <c r="A55" s="6">
        <v>54.0</v>
      </c>
      <c r="B55" s="6" t="s">
        <v>429</v>
      </c>
      <c r="C55" s="6" t="s">
        <v>863</v>
      </c>
      <c r="D55" s="6" t="s">
        <v>864</v>
      </c>
      <c r="E55" s="6">
        <v>1.0</v>
      </c>
      <c r="F55" s="6"/>
      <c r="G55" s="6" t="s">
        <v>865</v>
      </c>
      <c r="H55" s="6" t="s">
        <v>866</v>
      </c>
      <c r="I55" s="6" t="s">
        <v>867</v>
      </c>
      <c r="J55" s="6" t="s">
        <v>420</v>
      </c>
      <c r="K55" s="6"/>
      <c r="L55" s="6" t="s">
        <v>420</v>
      </c>
      <c r="M55" s="6" t="s">
        <v>420</v>
      </c>
      <c r="N55" s="6" t="s">
        <v>420</v>
      </c>
      <c r="O55" s="6"/>
      <c r="P55" s="6"/>
      <c r="Q55" s="6"/>
      <c r="R55" s="6"/>
      <c r="S55" s="6"/>
      <c r="T55" s="6"/>
      <c r="U55" s="6"/>
      <c r="V55" s="6"/>
      <c r="W55" s="6"/>
      <c r="X55" s="6"/>
      <c r="Y55" s="6"/>
      <c r="Z55" s="6"/>
    </row>
    <row r="56" ht="13.5" customHeight="1">
      <c r="A56" s="6">
        <v>55.0</v>
      </c>
      <c r="C56" s="6" t="s">
        <v>868</v>
      </c>
      <c r="D56" s="6" t="s">
        <v>869</v>
      </c>
      <c r="E56" s="6">
        <v>3.0</v>
      </c>
      <c r="F56" s="6"/>
      <c r="G56" s="6" t="s">
        <v>870</v>
      </c>
      <c r="H56" s="6" t="s">
        <v>863</v>
      </c>
      <c r="I56" s="6" t="s">
        <v>871</v>
      </c>
      <c r="J56" s="6" t="s">
        <v>420</v>
      </c>
      <c r="K56" s="6"/>
      <c r="L56" s="6" t="s">
        <v>420</v>
      </c>
      <c r="M56" s="6" t="s">
        <v>420</v>
      </c>
      <c r="N56" s="6" t="s">
        <v>420</v>
      </c>
      <c r="O56" s="6"/>
      <c r="P56" s="6"/>
      <c r="Q56" s="6"/>
      <c r="R56" s="6"/>
      <c r="S56" s="6"/>
      <c r="T56" s="6"/>
      <c r="U56" s="6"/>
      <c r="V56" s="6"/>
      <c r="W56" s="6"/>
      <c r="X56" s="6"/>
      <c r="Y56" s="6"/>
      <c r="Z56" s="6"/>
    </row>
    <row r="57" ht="13.5" customHeight="1">
      <c r="A57" s="6">
        <v>56.0</v>
      </c>
      <c r="B57" s="6" t="s">
        <v>433</v>
      </c>
      <c r="C57" s="6" t="s">
        <v>872</v>
      </c>
      <c r="D57" s="6" t="s">
        <v>873</v>
      </c>
      <c r="E57" s="6" t="s">
        <v>104</v>
      </c>
      <c r="F57" s="6"/>
      <c r="G57" s="6"/>
      <c r="H57" s="6"/>
      <c r="I57" s="6"/>
      <c r="J57" s="6" t="s">
        <v>420</v>
      </c>
      <c r="K57" s="6"/>
      <c r="L57" s="6"/>
      <c r="M57" s="6"/>
      <c r="N57" s="6"/>
      <c r="O57" s="6"/>
      <c r="P57" s="6"/>
      <c r="Q57" s="6"/>
      <c r="R57" s="6"/>
      <c r="S57" s="6"/>
      <c r="T57" s="6"/>
      <c r="U57" s="6"/>
      <c r="V57" s="6"/>
      <c r="W57" s="6"/>
      <c r="X57" s="6"/>
      <c r="Y57" s="6"/>
      <c r="Z57" s="6"/>
    </row>
    <row r="58" ht="13.5" customHeight="1">
      <c r="A58" s="6">
        <v>57.0</v>
      </c>
      <c r="C58" s="6" t="s">
        <v>874</v>
      </c>
      <c r="D58" s="6"/>
      <c r="E58" s="6"/>
      <c r="F58" s="6"/>
      <c r="G58" s="6"/>
      <c r="H58" s="6" t="s">
        <v>875</v>
      </c>
      <c r="I58" s="6"/>
      <c r="J58" s="6" t="s">
        <v>420</v>
      </c>
      <c r="K58" s="6"/>
      <c r="L58" s="6"/>
      <c r="M58" s="6"/>
      <c r="N58" s="6"/>
      <c r="O58" s="6"/>
      <c r="P58" s="6"/>
      <c r="Q58" s="6"/>
      <c r="R58" s="6"/>
      <c r="S58" s="6"/>
      <c r="T58" s="6"/>
      <c r="U58" s="6"/>
      <c r="V58" s="6"/>
      <c r="W58" s="6"/>
      <c r="X58" s="6"/>
      <c r="Y58" s="6"/>
      <c r="Z58" s="6"/>
    </row>
    <row r="59" ht="13.5" customHeight="1">
      <c r="A59" s="6">
        <v>58.0</v>
      </c>
      <c r="C59" s="6" t="s">
        <v>876</v>
      </c>
      <c r="D59" s="6"/>
      <c r="E59" s="6"/>
      <c r="F59" s="6"/>
      <c r="G59" s="6"/>
      <c r="H59" s="6" t="s">
        <v>877</v>
      </c>
      <c r="I59" s="6"/>
      <c r="J59" s="6" t="s">
        <v>420</v>
      </c>
      <c r="K59" s="6"/>
      <c r="L59" s="6"/>
      <c r="M59" s="6"/>
      <c r="N59" s="6"/>
      <c r="O59" s="6"/>
      <c r="P59" s="6"/>
      <c r="Q59" s="6"/>
      <c r="R59" s="6"/>
      <c r="S59" s="6"/>
      <c r="T59" s="6"/>
      <c r="U59" s="6"/>
      <c r="V59" s="6"/>
      <c r="W59" s="6"/>
      <c r="X59" s="6"/>
      <c r="Y59" s="6"/>
      <c r="Z59" s="6"/>
    </row>
    <row r="60" ht="13.5" customHeight="1">
      <c r="A60" s="6">
        <v>59.0</v>
      </c>
      <c r="B60" s="6" t="s">
        <v>878</v>
      </c>
      <c r="C60" s="6" t="s">
        <v>879</v>
      </c>
      <c r="D60" s="6"/>
      <c r="E60" s="6"/>
      <c r="F60" s="6"/>
      <c r="G60" s="6"/>
      <c r="H60" s="6" t="s">
        <v>880</v>
      </c>
      <c r="I60" s="6"/>
      <c r="J60" s="6"/>
      <c r="K60" s="6"/>
      <c r="L60" s="6"/>
      <c r="M60" s="6"/>
      <c r="N60" s="6"/>
      <c r="O60" s="6"/>
      <c r="P60" s="6"/>
      <c r="Q60" s="6"/>
      <c r="R60" s="6"/>
      <c r="S60" s="6"/>
      <c r="T60" s="6"/>
      <c r="U60" s="6"/>
      <c r="V60" s="6"/>
      <c r="W60" s="6"/>
      <c r="X60" s="6"/>
      <c r="Y60" s="6"/>
      <c r="Z60" s="6"/>
    </row>
    <row r="61" ht="13.5" customHeight="1">
      <c r="A61" s="6">
        <v>60.0</v>
      </c>
      <c r="B61" s="6" t="s">
        <v>881</v>
      </c>
      <c r="C61" s="6" t="s">
        <v>882</v>
      </c>
      <c r="D61" s="6" t="s">
        <v>883</v>
      </c>
      <c r="E61" s="6" t="s">
        <v>724</v>
      </c>
      <c r="F61" s="6" t="s">
        <v>884</v>
      </c>
      <c r="G61" s="6"/>
      <c r="H61" s="6" t="s">
        <v>885</v>
      </c>
      <c r="I61" s="6"/>
      <c r="J61" s="6" t="s">
        <v>420</v>
      </c>
      <c r="K61" s="6" t="s">
        <v>420</v>
      </c>
      <c r="L61" s="6" t="s">
        <v>420</v>
      </c>
      <c r="M61" s="6" t="s">
        <v>420</v>
      </c>
      <c r="N61" s="6"/>
      <c r="O61" s="6"/>
      <c r="P61" s="6"/>
      <c r="Q61" s="6"/>
      <c r="R61" s="6"/>
      <c r="S61" s="6"/>
      <c r="T61" s="6"/>
      <c r="U61" s="6"/>
      <c r="V61" s="6"/>
      <c r="W61" s="6"/>
      <c r="X61" s="6"/>
      <c r="Y61" s="6"/>
      <c r="Z61" s="6"/>
    </row>
    <row r="62" ht="13.5" customHeight="1">
      <c r="A62" s="6">
        <v>61.0</v>
      </c>
      <c r="B62" s="6" t="s">
        <v>463</v>
      </c>
      <c r="C62" s="6" t="s">
        <v>886</v>
      </c>
      <c r="D62" s="6" t="s">
        <v>887</v>
      </c>
      <c r="E62" s="6" t="s">
        <v>665</v>
      </c>
      <c r="F62" s="6"/>
      <c r="G62" s="6"/>
      <c r="H62" s="6" t="s">
        <v>888</v>
      </c>
      <c r="I62" s="6" t="s">
        <v>889</v>
      </c>
      <c r="J62" s="6"/>
      <c r="K62" s="6"/>
      <c r="L62" s="6"/>
      <c r="M62" s="6"/>
      <c r="N62" s="6"/>
      <c r="O62" s="6"/>
      <c r="P62" s="6"/>
      <c r="Q62" s="6"/>
      <c r="R62" s="6"/>
      <c r="S62" s="6"/>
      <c r="T62" s="6"/>
      <c r="U62" s="6"/>
      <c r="V62" s="6"/>
      <c r="W62" s="6"/>
      <c r="X62" s="6"/>
      <c r="Y62" s="6"/>
      <c r="Z62" s="6"/>
    </row>
    <row r="63" ht="13.5" customHeight="1">
      <c r="A63" s="6">
        <v>62.0</v>
      </c>
      <c r="C63" s="6" t="s">
        <v>889</v>
      </c>
      <c r="D63" s="6" t="s">
        <v>890</v>
      </c>
      <c r="E63" s="6" t="s">
        <v>843</v>
      </c>
      <c r="F63" s="6"/>
      <c r="G63" s="6"/>
      <c r="H63" s="6" t="s">
        <v>891</v>
      </c>
      <c r="I63" s="6" t="s">
        <v>892</v>
      </c>
      <c r="J63" s="6"/>
      <c r="K63" s="6"/>
      <c r="L63" s="6"/>
      <c r="M63" s="6"/>
      <c r="N63" s="6" t="s">
        <v>466</v>
      </c>
      <c r="O63" s="6"/>
      <c r="P63" s="6"/>
      <c r="Q63" s="6"/>
      <c r="R63" s="6"/>
      <c r="S63" s="6"/>
      <c r="T63" s="6"/>
      <c r="U63" s="6"/>
      <c r="V63" s="6"/>
      <c r="W63" s="6"/>
      <c r="X63" s="6"/>
      <c r="Y63" s="6"/>
      <c r="Z63" s="6"/>
    </row>
    <row r="64" ht="13.5" customHeight="1">
      <c r="A64" s="6">
        <v>63.0</v>
      </c>
      <c r="B64" s="6" t="s">
        <v>893</v>
      </c>
      <c r="C64" s="6" t="s">
        <v>894</v>
      </c>
      <c r="D64" s="15" t="s">
        <v>536</v>
      </c>
      <c r="E64" s="15" t="s">
        <v>728</v>
      </c>
      <c r="F64" s="6"/>
      <c r="G64" s="6"/>
      <c r="H64" s="6"/>
      <c r="I64" s="6"/>
      <c r="J64" s="10" t="s">
        <v>895</v>
      </c>
      <c r="K64" s="6"/>
      <c r="L64" s="6"/>
      <c r="M64" s="6"/>
      <c r="N64" s="6"/>
      <c r="O64" s="6"/>
      <c r="P64" s="6"/>
      <c r="Q64" s="6"/>
      <c r="R64" s="6"/>
      <c r="S64" s="6"/>
      <c r="T64" s="6"/>
      <c r="U64" s="6"/>
      <c r="V64" s="6"/>
      <c r="W64" s="6"/>
      <c r="X64" s="6"/>
      <c r="Y64" s="6"/>
      <c r="Z64" s="6"/>
    </row>
    <row r="65" ht="13.5" customHeight="1">
      <c r="A65" s="6">
        <v>64.0</v>
      </c>
      <c r="B65" s="6" t="s">
        <v>406</v>
      </c>
      <c r="C65" s="6" t="s">
        <v>896</v>
      </c>
      <c r="D65" s="6" t="s">
        <v>408</v>
      </c>
      <c r="E65" s="6" t="s">
        <v>665</v>
      </c>
      <c r="F65" s="6"/>
      <c r="G65" s="6"/>
      <c r="H65" s="6"/>
      <c r="I65" s="6"/>
      <c r="J65" s="6"/>
      <c r="K65" s="6"/>
      <c r="L65" s="6"/>
      <c r="M65" s="6"/>
      <c r="N65" s="6"/>
      <c r="O65" s="6"/>
      <c r="P65" s="6"/>
      <c r="Q65" s="6"/>
      <c r="R65" s="6"/>
      <c r="S65" s="6"/>
      <c r="T65" s="6"/>
      <c r="U65" s="6"/>
      <c r="V65" s="6"/>
      <c r="W65" s="6"/>
      <c r="X65" s="6"/>
      <c r="Y65" s="6"/>
      <c r="Z65" s="6"/>
    </row>
    <row r="66" ht="13.5" customHeight="1">
      <c r="A66" s="6">
        <v>65.0</v>
      </c>
      <c r="C66" s="6" t="s">
        <v>897</v>
      </c>
      <c r="D66" s="6" t="s">
        <v>898</v>
      </c>
      <c r="E66" s="6" t="s">
        <v>843</v>
      </c>
      <c r="F66" s="6"/>
      <c r="G66" s="6"/>
      <c r="H66" s="6"/>
      <c r="I66" s="6"/>
      <c r="J66" s="6"/>
      <c r="K66" s="6"/>
      <c r="L66" s="6"/>
      <c r="M66" s="6"/>
      <c r="N66" s="6"/>
      <c r="O66" s="6"/>
      <c r="P66" s="6"/>
      <c r="Q66" s="6"/>
      <c r="R66" s="6"/>
      <c r="S66" s="6"/>
      <c r="T66" s="6"/>
      <c r="U66" s="6"/>
      <c r="V66" s="6"/>
      <c r="W66" s="6"/>
      <c r="X66" s="6"/>
      <c r="Y66" s="6"/>
      <c r="Z66" s="6"/>
    </row>
    <row r="67" ht="13.5" customHeight="1">
      <c r="A67" s="6">
        <v>66.0</v>
      </c>
      <c r="C67" s="6" t="s">
        <v>899</v>
      </c>
      <c r="D67" s="6" t="s">
        <v>898</v>
      </c>
      <c r="E67" s="6" t="s">
        <v>724</v>
      </c>
      <c r="F67" s="6"/>
      <c r="G67" s="6"/>
      <c r="H67" s="6"/>
      <c r="I67" s="6"/>
      <c r="J67" s="6"/>
      <c r="K67" s="6"/>
      <c r="L67" s="6"/>
      <c r="M67" s="6"/>
      <c r="N67" s="6"/>
      <c r="O67" s="6"/>
      <c r="P67" s="6"/>
      <c r="Q67" s="6"/>
      <c r="R67" s="6"/>
      <c r="S67" s="6"/>
      <c r="T67" s="6"/>
      <c r="U67" s="6"/>
      <c r="V67" s="6"/>
      <c r="W67" s="6"/>
      <c r="X67" s="6"/>
      <c r="Y67" s="6"/>
      <c r="Z67" s="6"/>
    </row>
    <row r="68" ht="13.5" customHeight="1">
      <c r="A68" s="6">
        <v>67.0</v>
      </c>
      <c r="B68" s="6" t="s">
        <v>548</v>
      </c>
      <c r="C68" s="6" t="s">
        <v>900</v>
      </c>
      <c r="D68" s="6" t="s">
        <v>554</v>
      </c>
      <c r="E68" s="6" t="s">
        <v>665</v>
      </c>
      <c r="F68" s="6"/>
      <c r="G68" s="6"/>
      <c r="H68" s="6"/>
      <c r="I68" s="6"/>
      <c r="J68" s="6"/>
      <c r="K68" s="6"/>
      <c r="L68" s="6"/>
      <c r="M68" s="6"/>
      <c r="N68" s="6"/>
      <c r="O68" s="6"/>
      <c r="P68" s="6"/>
      <c r="Q68" s="6"/>
      <c r="R68" s="6"/>
      <c r="S68" s="6"/>
      <c r="T68" s="6"/>
      <c r="U68" s="6"/>
      <c r="V68" s="6"/>
      <c r="W68" s="6"/>
      <c r="X68" s="6"/>
      <c r="Y68" s="6"/>
      <c r="Z68" s="6"/>
    </row>
    <row r="69" ht="13.5" customHeight="1">
      <c r="J69" s="10"/>
      <c r="K69" s="10"/>
      <c r="L69" s="10"/>
      <c r="M69" s="10"/>
      <c r="N69" s="10"/>
    </row>
    <row r="70" ht="13.5" customHeight="1">
      <c r="J70" s="10"/>
      <c r="K70" s="10"/>
      <c r="L70" s="10"/>
      <c r="M70" s="10"/>
      <c r="N70" s="10"/>
    </row>
    <row r="71" ht="13.5" customHeight="1">
      <c r="J71" s="10"/>
      <c r="K71" s="10"/>
      <c r="L71" s="10"/>
      <c r="M71" s="10"/>
      <c r="N71" s="10"/>
    </row>
    <row r="72" ht="13.5" customHeight="1">
      <c r="J72" s="10"/>
      <c r="K72" s="10"/>
      <c r="L72" s="10"/>
      <c r="M72" s="10"/>
      <c r="N72" s="10"/>
    </row>
    <row r="73" ht="13.5" customHeight="1">
      <c r="J73" s="10"/>
      <c r="K73" s="10"/>
      <c r="L73" s="10"/>
      <c r="M73" s="10"/>
      <c r="N73" s="10"/>
    </row>
    <row r="74" ht="13.5" customHeight="1">
      <c r="J74" s="10"/>
      <c r="K74" s="10"/>
      <c r="L74" s="10"/>
      <c r="M74" s="10"/>
      <c r="N74" s="10"/>
    </row>
    <row r="75" ht="13.5" customHeight="1">
      <c r="J75" s="10"/>
      <c r="K75" s="10"/>
      <c r="L75" s="10"/>
      <c r="M75" s="10"/>
      <c r="N75" s="10"/>
    </row>
    <row r="76" ht="13.5" customHeight="1">
      <c r="J76" s="10"/>
      <c r="K76" s="10"/>
      <c r="L76" s="10"/>
      <c r="M76" s="10"/>
      <c r="N76" s="10"/>
    </row>
    <row r="77" ht="13.5" customHeight="1">
      <c r="J77" s="10"/>
      <c r="K77" s="10"/>
      <c r="L77" s="10"/>
      <c r="M77" s="10"/>
      <c r="N77" s="10"/>
    </row>
    <row r="78" ht="13.5" customHeight="1">
      <c r="J78" s="10"/>
      <c r="K78" s="10"/>
      <c r="L78" s="10"/>
      <c r="M78" s="10"/>
      <c r="N78" s="10"/>
    </row>
    <row r="79" ht="13.5" customHeight="1">
      <c r="J79" s="10"/>
      <c r="K79" s="10"/>
      <c r="L79" s="10"/>
      <c r="M79" s="10"/>
      <c r="N79" s="10"/>
    </row>
    <row r="80" ht="13.5" customHeight="1">
      <c r="J80" s="10"/>
      <c r="K80" s="10"/>
      <c r="L80" s="10"/>
      <c r="M80" s="10"/>
      <c r="N80" s="10"/>
    </row>
    <row r="81" ht="13.5" customHeight="1">
      <c r="J81" s="10"/>
      <c r="K81" s="10"/>
      <c r="L81" s="10"/>
      <c r="M81" s="10"/>
      <c r="N81" s="10"/>
    </row>
    <row r="82" ht="13.5" customHeight="1">
      <c r="J82" s="10"/>
      <c r="K82" s="10"/>
      <c r="L82" s="10"/>
      <c r="M82" s="10"/>
      <c r="N82" s="10"/>
    </row>
    <row r="83" ht="13.5" customHeight="1">
      <c r="J83" s="10"/>
      <c r="K83" s="10"/>
      <c r="L83" s="10"/>
      <c r="M83" s="10"/>
      <c r="N83" s="10"/>
    </row>
    <row r="84" ht="13.5" customHeight="1">
      <c r="J84" s="10"/>
      <c r="K84" s="10"/>
      <c r="L84" s="10"/>
      <c r="M84" s="10"/>
      <c r="N84" s="10"/>
    </row>
    <row r="85" ht="13.5" customHeight="1">
      <c r="J85" s="10"/>
      <c r="K85" s="10"/>
      <c r="L85" s="10"/>
      <c r="M85" s="10"/>
      <c r="N85" s="10"/>
    </row>
    <row r="86" ht="13.5" customHeight="1">
      <c r="J86" s="10"/>
      <c r="K86" s="10"/>
      <c r="L86" s="10"/>
      <c r="M86" s="10"/>
      <c r="N86" s="10"/>
    </row>
    <row r="87" ht="13.5" customHeight="1">
      <c r="J87" s="10"/>
      <c r="K87" s="10"/>
      <c r="L87" s="10"/>
      <c r="M87" s="10"/>
      <c r="N87" s="10"/>
    </row>
    <row r="88" ht="13.5" customHeight="1">
      <c r="J88" s="10"/>
      <c r="K88" s="10"/>
      <c r="L88" s="10"/>
      <c r="M88" s="10"/>
      <c r="N88" s="10"/>
    </row>
    <row r="89" ht="13.5" customHeight="1">
      <c r="J89" s="10"/>
      <c r="K89" s="10"/>
      <c r="L89" s="10"/>
      <c r="M89" s="10"/>
      <c r="N89" s="10"/>
    </row>
    <row r="90" ht="13.5" customHeight="1">
      <c r="J90" s="10"/>
      <c r="K90" s="10"/>
      <c r="L90" s="10"/>
      <c r="M90" s="10"/>
      <c r="N90" s="10"/>
    </row>
    <row r="91" ht="13.5" customHeight="1">
      <c r="J91" s="10"/>
      <c r="K91" s="10"/>
      <c r="L91" s="10"/>
      <c r="M91" s="10"/>
      <c r="N91" s="10"/>
    </row>
    <row r="92" ht="13.5" customHeight="1">
      <c r="J92" s="10"/>
      <c r="K92" s="10"/>
      <c r="L92" s="10"/>
      <c r="M92" s="10"/>
      <c r="N92" s="10"/>
    </row>
    <row r="93" ht="13.5" customHeight="1">
      <c r="J93" s="10"/>
      <c r="K93" s="10"/>
      <c r="L93" s="10"/>
      <c r="M93" s="10"/>
      <c r="N93" s="10"/>
    </row>
    <row r="94" ht="13.5" customHeight="1">
      <c r="J94" s="10"/>
      <c r="K94" s="10"/>
      <c r="L94" s="10"/>
      <c r="M94" s="10"/>
      <c r="N94" s="10"/>
    </row>
    <row r="95" ht="13.5" customHeight="1">
      <c r="J95" s="10"/>
      <c r="K95" s="10"/>
      <c r="L95" s="10"/>
      <c r="M95" s="10"/>
      <c r="N95" s="10"/>
    </row>
    <row r="96" ht="13.5" customHeight="1">
      <c r="J96" s="10"/>
      <c r="K96" s="10"/>
      <c r="L96" s="10"/>
      <c r="M96" s="10"/>
      <c r="N96" s="10"/>
    </row>
    <row r="97" ht="13.5" customHeight="1">
      <c r="J97" s="10"/>
      <c r="K97" s="10"/>
      <c r="L97" s="10"/>
      <c r="M97" s="10"/>
      <c r="N97" s="10"/>
    </row>
    <row r="98" ht="13.5" customHeight="1">
      <c r="J98" s="10"/>
      <c r="K98" s="10"/>
      <c r="L98" s="10"/>
      <c r="M98" s="10"/>
      <c r="N98" s="10"/>
    </row>
    <row r="99" ht="13.5" customHeight="1">
      <c r="J99" s="10"/>
      <c r="K99" s="10"/>
      <c r="L99" s="10"/>
      <c r="M99" s="10"/>
      <c r="N99" s="10"/>
    </row>
    <row r="100" ht="13.5" customHeight="1">
      <c r="J100" s="10"/>
      <c r="K100" s="10"/>
      <c r="L100" s="10"/>
      <c r="M100" s="10"/>
      <c r="N100" s="10"/>
    </row>
    <row r="101" ht="13.5" customHeight="1">
      <c r="J101" s="10"/>
      <c r="K101" s="10"/>
      <c r="L101" s="10"/>
      <c r="M101" s="10"/>
      <c r="N101" s="10"/>
    </row>
    <row r="102" ht="13.5" customHeight="1">
      <c r="J102" s="10"/>
      <c r="K102" s="10"/>
      <c r="L102" s="10"/>
      <c r="M102" s="10"/>
      <c r="N102" s="10"/>
    </row>
    <row r="103" ht="13.5" customHeight="1">
      <c r="J103" s="10"/>
      <c r="K103" s="10"/>
      <c r="L103" s="10"/>
      <c r="M103" s="10"/>
      <c r="N103" s="10"/>
    </row>
    <row r="104" ht="13.5" customHeight="1">
      <c r="J104" s="10"/>
      <c r="K104" s="10"/>
      <c r="L104" s="10"/>
      <c r="M104" s="10"/>
      <c r="N104" s="10"/>
    </row>
    <row r="105" ht="13.5" customHeight="1">
      <c r="J105" s="10"/>
      <c r="K105" s="10"/>
      <c r="L105" s="10"/>
      <c r="M105" s="10"/>
      <c r="N105" s="10"/>
    </row>
    <row r="106" ht="13.5" customHeight="1">
      <c r="J106" s="10"/>
      <c r="K106" s="10"/>
      <c r="L106" s="10"/>
      <c r="M106" s="10"/>
      <c r="N106" s="10"/>
    </row>
    <row r="107" ht="13.5" customHeight="1">
      <c r="J107" s="10"/>
      <c r="K107" s="10"/>
      <c r="L107" s="10"/>
      <c r="M107" s="10"/>
      <c r="N107" s="10"/>
    </row>
    <row r="108" ht="13.5" customHeight="1">
      <c r="J108" s="10"/>
      <c r="K108" s="10"/>
      <c r="L108" s="10"/>
      <c r="M108" s="10"/>
      <c r="N108" s="10"/>
    </row>
    <row r="109" ht="13.5" customHeight="1">
      <c r="J109" s="10"/>
      <c r="K109" s="10"/>
      <c r="L109" s="10"/>
      <c r="M109" s="10"/>
      <c r="N109" s="10"/>
    </row>
    <row r="110" ht="13.5" customHeight="1">
      <c r="J110" s="10"/>
      <c r="K110" s="10"/>
      <c r="L110" s="10"/>
      <c r="M110" s="10"/>
      <c r="N110" s="10"/>
    </row>
    <row r="111" ht="13.5" customHeight="1">
      <c r="J111" s="10"/>
      <c r="K111" s="10"/>
      <c r="L111" s="10"/>
      <c r="M111" s="10"/>
      <c r="N111" s="10"/>
    </row>
    <row r="112" ht="13.5" customHeight="1">
      <c r="J112" s="10"/>
      <c r="K112" s="10"/>
      <c r="L112" s="10"/>
      <c r="M112" s="10"/>
      <c r="N112" s="10"/>
    </row>
    <row r="113" ht="13.5" customHeight="1">
      <c r="J113" s="10"/>
      <c r="K113" s="10"/>
      <c r="L113" s="10"/>
      <c r="M113" s="10"/>
      <c r="N113" s="10"/>
    </row>
    <row r="114" ht="13.5" customHeight="1">
      <c r="J114" s="10"/>
      <c r="K114" s="10"/>
      <c r="L114" s="10"/>
      <c r="M114" s="10"/>
      <c r="N114" s="10"/>
    </row>
    <row r="115" ht="13.5" customHeight="1">
      <c r="J115" s="10"/>
      <c r="K115" s="10"/>
      <c r="L115" s="10"/>
      <c r="M115" s="10"/>
      <c r="N115" s="10"/>
    </row>
    <row r="116" ht="13.5" customHeight="1">
      <c r="J116" s="10"/>
      <c r="K116" s="10"/>
      <c r="L116" s="10"/>
      <c r="M116" s="10"/>
      <c r="N116" s="10"/>
    </row>
    <row r="117" ht="13.5" customHeight="1">
      <c r="J117" s="10"/>
      <c r="K117" s="10"/>
      <c r="L117" s="10"/>
      <c r="M117" s="10"/>
      <c r="N117" s="10"/>
    </row>
    <row r="118" ht="13.5" customHeight="1">
      <c r="J118" s="10"/>
      <c r="K118" s="10"/>
      <c r="L118" s="10"/>
      <c r="M118" s="10"/>
      <c r="N118" s="10"/>
    </row>
    <row r="119" ht="13.5" customHeight="1">
      <c r="J119" s="10"/>
      <c r="K119" s="10"/>
      <c r="L119" s="10"/>
      <c r="M119" s="10"/>
      <c r="N119" s="10"/>
    </row>
    <row r="120" ht="13.5" customHeight="1">
      <c r="J120" s="10"/>
      <c r="K120" s="10"/>
      <c r="L120" s="10"/>
      <c r="M120" s="10"/>
      <c r="N120" s="10"/>
    </row>
    <row r="121" ht="13.5" customHeight="1">
      <c r="J121" s="10"/>
      <c r="K121" s="10"/>
      <c r="L121" s="10"/>
      <c r="M121" s="10"/>
      <c r="N121" s="10"/>
    </row>
    <row r="122" ht="13.5" customHeight="1">
      <c r="J122" s="10"/>
      <c r="K122" s="10"/>
      <c r="L122" s="10"/>
      <c r="M122" s="10"/>
      <c r="N122" s="10"/>
    </row>
    <row r="123" ht="13.5" customHeight="1">
      <c r="J123" s="10"/>
      <c r="K123" s="10"/>
      <c r="L123" s="10"/>
      <c r="M123" s="10"/>
      <c r="N123" s="10"/>
    </row>
    <row r="124" ht="13.5" customHeight="1">
      <c r="J124" s="10"/>
      <c r="K124" s="10"/>
      <c r="L124" s="10"/>
      <c r="M124" s="10"/>
      <c r="N124" s="10"/>
    </row>
    <row r="125" ht="13.5" customHeight="1">
      <c r="J125" s="10"/>
      <c r="K125" s="10"/>
      <c r="L125" s="10"/>
      <c r="M125" s="10"/>
      <c r="N125" s="10"/>
    </row>
    <row r="126" ht="13.5" customHeight="1">
      <c r="J126" s="10"/>
      <c r="K126" s="10"/>
      <c r="L126" s="10"/>
      <c r="M126" s="10"/>
      <c r="N126" s="10"/>
    </row>
    <row r="127" ht="13.5" customHeight="1">
      <c r="J127" s="10"/>
      <c r="K127" s="10"/>
      <c r="L127" s="10"/>
      <c r="M127" s="10"/>
      <c r="N127" s="10"/>
    </row>
    <row r="128" ht="13.5" customHeight="1">
      <c r="J128" s="10"/>
      <c r="K128" s="10"/>
      <c r="L128" s="10"/>
      <c r="M128" s="10"/>
      <c r="N128" s="10"/>
    </row>
    <row r="129" ht="13.5" customHeight="1">
      <c r="J129" s="10"/>
      <c r="K129" s="10"/>
      <c r="L129" s="10"/>
      <c r="M129" s="10"/>
      <c r="N129" s="10"/>
    </row>
    <row r="130" ht="13.5" customHeight="1">
      <c r="J130" s="10"/>
      <c r="K130" s="10"/>
      <c r="L130" s="10"/>
      <c r="M130" s="10"/>
      <c r="N130" s="10"/>
    </row>
    <row r="131" ht="13.5" customHeight="1">
      <c r="J131" s="10"/>
      <c r="K131" s="10"/>
      <c r="L131" s="10"/>
      <c r="M131" s="10"/>
      <c r="N131" s="10"/>
    </row>
    <row r="132" ht="13.5" customHeight="1">
      <c r="J132" s="10"/>
      <c r="K132" s="10"/>
      <c r="L132" s="10"/>
      <c r="M132" s="10"/>
      <c r="N132" s="10"/>
    </row>
    <row r="133" ht="13.5" customHeight="1">
      <c r="J133" s="10"/>
      <c r="K133" s="10"/>
      <c r="L133" s="10"/>
      <c r="M133" s="10"/>
      <c r="N133" s="10"/>
    </row>
    <row r="134" ht="13.5" customHeight="1">
      <c r="J134" s="10"/>
      <c r="K134" s="10"/>
      <c r="L134" s="10"/>
      <c r="M134" s="10"/>
      <c r="N134" s="10"/>
    </row>
    <row r="135" ht="13.5" customHeight="1">
      <c r="J135" s="10"/>
      <c r="K135" s="10"/>
      <c r="L135" s="10"/>
      <c r="M135" s="10"/>
      <c r="N135" s="10"/>
    </row>
    <row r="136" ht="13.5" customHeight="1">
      <c r="J136" s="10"/>
      <c r="K136" s="10"/>
      <c r="L136" s="10"/>
      <c r="M136" s="10"/>
      <c r="N136" s="10"/>
    </row>
    <row r="137" ht="13.5" customHeight="1">
      <c r="J137" s="10"/>
      <c r="K137" s="10"/>
      <c r="L137" s="10"/>
      <c r="M137" s="10"/>
      <c r="N137" s="10"/>
    </row>
    <row r="138" ht="13.5" customHeight="1">
      <c r="J138" s="10"/>
      <c r="K138" s="10"/>
      <c r="L138" s="10"/>
      <c r="M138" s="10"/>
      <c r="N138" s="10"/>
    </row>
    <row r="139" ht="13.5" customHeight="1">
      <c r="J139" s="10"/>
      <c r="K139" s="10"/>
      <c r="L139" s="10"/>
      <c r="M139" s="10"/>
      <c r="N139" s="10"/>
    </row>
    <row r="140" ht="13.5" customHeight="1">
      <c r="J140" s="10"/>
      <c r="K140" s="10"/>
      <c r="L140" s="10"/>
      <c r="M140" s="10"/>
      <c r="N140" s="10"/>
    </row>
    <row r="141" ht="13.5" customHeight="1">
      <c r="J141" s="10"/>
      <c r="K141" s="10"/>
      <c r="L141" s="10"/>
      <c r="M141" s="10"/>
      <c r="N141" s="10"/>
    </row>
    <row r="142" ht="13.5" customHeight="1">
      <c r="J142" s="10"/>
      <c r="K142" s="10"/>
      <c r="L142" s="10"/>
      <c r="M142" s="10"/>
      <c r="N142" s="10"/>
    </row>
    <row r="143" ht="13.5" customHeight="1">
      <c r="J143" s="10"/>
      <c r="K143" s="10"/>
      <c r="L143" s="10"/>
      <c r="M143" s="10"/>
      <c r="N143" s="10"/>
    </row>
    <row r="144" ht="13.5" customHeight="1">
      <c r="J144" s="10"/>
      <c r="K144" s="10"/>
      <c r="L144" s="10"/>
      <c r="M144" s="10"/>
      <c r="N144" s="10"/>
    </row>
    <row r="145" ht="13.5" customHeight="1">
      <c r="J145" s="10"/>
      <c r="K145" s="10"/>
      <c r="L145" s="10"/>
      <c r="M145" s="10"/>
      <c r="N145" s="10"/>
    </row>
    <row r="146" ht="13.5" customHeight="1">
      <c r="J146" s="10"/>
      <c r="K146" s="10"/>
      <c r="L146" s="10"/>
      <c r="M146" s="10"/>
      <c r="N146" s="10"/>
    </row>
    <row r="147" ht="13.5" customHeight="1">
      <c r="J147" s="10"/>
      <c r="K147" s="10"/>
      <c r="L147" s="10"/>
      <c r="M147" s="10"/>
      <c r="N147" s="10"/>
    </row>
    <row r="148" ht="13.5" customHeight="1">
      <c r="J148" s="10"/>
      <c r="K148" s="10"/>
      <c r="L148" s="10"/>
      <c r="M148" s="10"/>
      <c r="N148" s="10"/>
    </row>
    <row r="149" ht="13.5" customHeight="1">
      <c r="J149" s="10"/>
      <c r="K149" s="10"/>
      <c r="L149" s="10"/>
      <c r="M149" s="10"/>
      <c r="N149" s="10"/>
    </row>
    <row r="150" ht="13.5" customHeight="1">
      <c r="J150" s="10"/>
      <c r="K150" s="10"/>
      <c r="L150" s="10"/>
      <c r="M150" s="10"/>
      <c r="N150" s="10"/>
    </row>
    <row r="151" ht="13.5" customHeight="1">
      <c r="J151" s="10"/>
      <c r="K151" s="10"/>
      <c r="L151" s="10"/>
      <c r="M151" s="10"/>
      <c r="N151" s="10"/>
    </row>
    <row r="152" ht="13.5" customHeight="1">
      <c r="J152" s="10"/>
      <c r="K152" s="10"/>
      <c r="L152" s="10"/>
      <c r="M152" s="10"/>
      <c r="N152" s="10"/>
    </row>
    <row r="153" ht="13.5" customHeight="1">
      <c r="J153" s="10"/>
      <c r="K153" s="10"/>
      <c r="L153" s="10"/>
      <c r="M153" s="10"/>
      <c r="N153" s="10"/>
    </row>
    <row r="154" ht="13.5" customHeight="1">
      <c r="J154" s="10"/>
      <c r="K154" s="10"/>
      <c r="L154" s="10"/>
      <c r="M154" s="10"/>
      <c r="N154" s="10"/>
    </row>
    <row r="155" ht="13.5" customHeight="1">
      <c r="J155" s="10"/>
      <c r="K155" s="10"/>
      <c r="L155" s="10"/>
      <c r="M155" s="10"/>
      <c r="N155" s="10"/>
    </row>
    <row r="156" ht="13.5" customHeight="1">
      <c r="J156" s="10"/>
      <c r="K156" s="10"/>
      <c r="L156" s="10"/>
      <c r="M156" s="10"/>
      <c r="N156" s="10"/>
    </row>
    <row r="157" ht="13.5" customHeight="1">
      <c r="J157" s="10"/>
      <c r="K157" s="10"/>
      <c r="L157" s="10"/>
      <c r="M157" s="10"/>
      <c r="N157" s="10"/>
    </row>
    <row r="158" ht="13.5" customHeight="1">
      <c r="J158" s="10"/>
      <c r="K158" s="10"/>
      <c r="L158" s="10"/>
      <c r="M158" s="10"/>
      <c r="N158" s="10"/>
    </row>
    <row r="159" ht="13.5" customHeight="1">
      <c r="J159" s="10"/>
      <c r="K159" s="10"/>
      <c r="L159" s="10"/>
      <c r="M159" s="10"/>
      <c r="N159" s="10"/>
    </row>
    <row r="160" ht="13.5" customHeight="1">
      <c r="J160" s="10"/>
      <c r="K160" s="10"/>
      <c r="L160" s="10"/>
      <c r="M160" s="10"/>
      <c r="N160" s="10"/>
    </row>
    <row r="161" ht="13.5" customHeight="1">
      <c r="J161" s="10"/>
      <c r="K161" s="10"/>
      <c r="L161" s="10"/>
      <c r="M161" s="10"/>
      <c r="N161" s="10"/>
    </row>
    <row r="162" ht="13.5" customHeight="1">
      <c r="J162" s="10"/>
      <c r="K162" s="10"/>
      <c r="L162" s="10"/>
      <c r="M162" s="10"/>
      <c r="N162" s="10"/>
    </row>
    <row r="163" ht="13.5" customHeight="1">
      <c r="J163" s="10"/>
      <c r="K163" s="10"/>
      <c r="L163" s="10"/>
      <c r="M163" s="10"/>
      <c r="N163" s="10"/>
    </row>
    <row r="164" ht="13.5" customHeight="1">
      <c r="J164" s="10"/>
      <c r="K164" s="10"/>
      <c r="L164" s="10"/>
      <c r="M164" s="10"/>
      <c r="N164" s="10"/>
    </row>
    <row r="165" ht="13.5" customHeight="1">
      <c r="J165" s="10"/>
      <c r="K165" s="10"/>
      <c r="L165" s="10"/>
      <c r="M165" s="10"/>
      <c r="N165" s="10"/>
    </row>
    <row r="166" ht="13.5" customHeight="1">
      <c r="J166" s="10"/>
      <c r="K166" s="10"/>
      <c r="L166" s="10"/>
      <c r="M166" s="10"/>
      <c r="N166" s="10"/>
    </row>
    <row r="167" ht="13.5" customHeight="1">
      <c r="J167" s="10"/>
      <c r="K167" s="10"/>
      <c r="L167" s="10"/>
      <c r="M167" s="10"/>
      <c r="N167" s="10"/>
    </row>
    <row r="168" ht="13.5" customHeight="1">
      <c r="J168" s="10"/>
      <c r="K168" s="10"/>
      <c r="L168" s="10"/>
      <c r="M168" s="10"/>
      <c r="N168" s="10"/>
    </row>
    <row r="169" ht="13.5" customHeight="1">
      <c r="J169" s="10"/>
      <c r="K169" s="10"/>
      <c r="L169" s="10"/>
      <c r="M169" s="10"/>
      <c r="N169" s="10"/>
    </row>
    <row r="170" ht="13.5" customHeight="1">
      <c r="J170" s="10"/>
      <c r="K170" s="10"/>
      <c r="L170" s="10"/>
      <c r="M170" s="10"/>
      <c r="N170" s="10"/>
    </row>
    <row r="171" ht="13.5" customHeight="1">
      <c r="J171" s="10"/>
      <c r="K171" s="10"/>
      <c r="L171" s="10"/>
      <c r="M171" s="10"/>
      <c r="N171" s="10"/>
    </row>
    <row r="172" ht="13.5" customHeight="1">
      <c r="J172" s="10"/>
      <c r="K172" s="10"/>
      <c r="L172" s="10"/>
      <c r="M172" s="10"/>
      <c r="N172" s="10"/>
    </row>
    <row r="173" ht="13.5" customHeight="1">
      <c r="J173" s="10"/>
      <c r="K173" s="10"/>
      <c r="L173" s="10"/>
      <c r="M173" s="10"/>
      <c r="N173" s="10"/>
    </row>
    <row r="174" ht="13.5" customHeight="1">
      <c r="J174" s="10"/>
      <c r="K174" s="10"/>
      <c r="L174" s="10"/>
      <c r="M174" s="10"/>
      <c r="N174" s="10"/>
    </row>
    <row r="175" ht="13.5" customHeight="1">
      <c r="J175" s="10"/>
      <c r="K175" s="10"/>
      <c r="L175" s="10"/>
      <c r="M175" s="10"/>
      <c r="N175" s="10"/>
    </row>
    <row r="176" ht="13.5" customHeight="1">
      <c r="J176" s="10"/>
      <c r="K176" s="10"/>
      <c r="L176" s="10"/>
      <c r="M176" s="10"/>
      <c r="N176" s="10"/>
    </row>
    <row r="177" ht="13.5" customHeight="1">
      <c r="J177" s="10"/>
      <c r="K177" s="10"/>
      <c r="L177" s="10"/>
      <c r="M177" s="10"/>
      <c r="N177" s="10"/>
    </row>
    <row r="178" ht="13.5" customHeight="1">
      <c r="J178" s="10"/>
      <c r="K178" s="10"/>
      <c r="L178" s="10"/>
      <c r="M178" s="10"/>
      <c r="N178" s="10"/>
    </row>
    <row r="179" ht="13.5" customHeight="1">
      <c r="J179" s="10"/>
      <c r="K179" s="10"/>
      <c r="L179" s="10"/>
      <c r="M179" s="10"/>
      <c r="N179" s="10"/>
    </row>
    <row r="180" ht="13.5" customHeight="1">
      <c r="J180" s="10"/>
      <c r="K180" s="10"/>
      <c r="L180" s="10"/>
      <c r="M180" s="10"/>
      <c r="N180" s="10"/>
    </row>
    <row r="181" ht="13.5" customHeight="1">
      <c r="J181" s="10"/>
      <c r="K181" s="10"/>
      <c r="L181" s="10"/>
      <c r="M181" s="10"/>
      <c r="N181" s="10"/>
    </row>
    <row r="182" ht="13.5" customHeight="1">
      <c r="J182" s="10"/>
      <c r="K182" s="10"/>
      <c r="L182" s="10"/>
      <c r="M182" s="10"/>
      <c r="N182" s="10"/>
    </row>
    <row r="183" ht="13.5" customHeight="1">
      <c r="J183" s="10"/>
      <c r="K183" s="10"/>
      <c r="L183" s="10"/>
      <c r="M183" s="10"/>
      <c r="N183" s="10"/>
    </row>
    <row r="184" ht="13.5" customHeight="1">
      <c r="J184" s="10"/>
      <c r="K184" s="10"/>
      <c r="L184" s="10"/>
      <c r="M184" s="10"/>
      <c r="N184" s="10"/>
    </row>
    <row r="185" ht="13.5" customHeight="1">
      <c r="J185" s="10"/>
      <c r="K185" s="10"/>
      <c r="L185" s="10"/>
      <c r="M185" s="10"/>
      <c r="N185" s="10"/>
    </row>
    <row r="186" ht="13.5" customHeight="1">
      <c r="J186" s="10"/>
      <c r="K186" s="10"/>
      <c r="L186" s="10"/>
      <c r="M186" s="10"/>
      <c r="N186" s="10"/>
    </row>
    <row r="187" ht="13.5" customHeight="1">
      <c r="J187" s="10"/>
      <c r="K187" s="10"/>
      <c r="L187" s="10"/>
      <c r="M187" s="10"/>
      <c r="N187" s="10"/>
    </row>
    <row r="188" ht="13.5" customHeight="1">
      <c r="J188" s="10"/>
      <c r="K188" s="10"/>
      <c r="L188" s="10"/>
      <c r="M188" s="10"/>
      <c r="N188" s="10"/>
    </row>
    <row r="189" ht="13.5" customHeight="1">
      <c r="J189" s="10"/>
      <c r="K189" s="10"/>
      <c r="L189" s="10"/>
      <c r="M189" s="10"/>
      <c r="N189" s="10"/>
    </row>
    <row r="190" ht="13.5" customHeight="1">
      <c r="J190" s="10"/>
      <c r="K190" s="10"/>
      <c r="L190" s="10"/>
      <c r="M190" s="10"/>
      <c r="N190" s="10"/>
    </row>
    <row r="191" ht="13.5" customHeight="1">
      <c r="J191" s="10"/>
      <c r="K191" s="10"/>
      <c r="L191" s="10"/>
      <c r="M191" s="10"/>
      <c r="N191" s="10"/>
    </row>
    <row r="192" ht="13.5" customHeight="1">
      <c r="J192" s="10"/>
      <c r="K192" s="10"/>
      <c r="L192" s="10"/>
      <c r="M192" s="10"/>
      <c r="N192" s="10"/>
    </row>
    <row r="193" ht="13.5" customHeight="1">
      <c r="J193" s="10"/>
      <c r="K193" s="10"/>
      <c r="L193" s="10"/>
      <c r="M193" s="10"/>
      <c r="N193" s="10"/>
    </row>
    <row r="194" ht="13.5" customHeight="1">
      <c r="J194" s="10"/>
      <c r="K194" s="10"/>
      <c r="L194" s="10"/>
      <c r="M194" s="10"/>
      <c r="N194" s="10"/>
    </row>
    <row r="195" ht="13.5" customHeight="1">
      <c r="J195" s="10"/>
      <c r="K195" s="10"/>
      <c r="L195" s="10"/>
      <c r="M195" s="10"/>
      <c r="N195" s="10"/>
    </row>
    <row r="196" ht="13.5" customHeight="1">
      <c r="J196" s="10"/>
      <c r="K196" s="10"/>
      <c r="L196" s="10"/>
      <c r="M196" s="10"/>
      <c r="N196" s="10"/>
    </row>
    <row r="197" ht="13.5" customHeight="1">
      <c r="J197" s="10"/>
      <c r="K197" s="10"/>
      <c r="L197" s="10"/>
      <c r="M197" s="10"/>
      <c r="N197" s="10"/>
    </row>
    <row r="198" ht="13.5" customHeight="1">
      <c r="J198" s="10"/>
      <c r="K198" s="10"/>
      <c r="L198" s="10"/>
      <c r="M198" s="10"/>
      <c r="N198" s="10"/>
    </row>
    <row r="199" ht="13.5" customHeight="1">
      <c r="J199" s="10"/>
      <c r="K199" s="10"/>
      <c r="L199" s="10"/>
      <c r="M199" s="10"/>
      <c r="N199" s="10"/>
    </row>
    <row r="200" ht="13.5" customHeight="1">
      <c r="J200" s="10"/>
      <c r="K200" s="10"/>
      <c r="L200" s="10"/>
      <c r="M200" s="10"/>
      <c r="N200" s="10"/>
    </row>
    <row r="201" ht="13.5" customHeight="1">
      <c r="J201" s="10"/>
      <c r="K201" s="10"/>
      <c r="L201" s="10"/>
      <c r="M201" s="10"/>
      <c r="N201" s="10"/>
    </row>
    <row r="202" ht="13.5" customHeight="1">
      <c r="J202" s="10"/>
      <c r="K202" s="10"/>
      <c r="L202" s="10"/>
      <c r="M202" s="10"/>
      <c r="N202" s="10"/>
    </row>
    <row r="203" ht="13.5" customHeight="1">
      <c r="J203" s="10"/>
      <c r="K203" s="10"/>
      <c r="L203" s="10"/>
      <c r="M203" s="10"/>
      <c r="N203" s="10"/>
    </row>
    <row r="204" ht="13.5" customHeight="1">
      <c r="J204" s="10"/>
      <c r="K204" s="10"/>
      <c r="L204" s="10"/>
      <c r="M204" s="10"/>
      <c r="N204" s="10"/>
    </row>
    <row r="205" ht="13.5" customHeight="1">
      <c r="J205" s="10"/>
      <c r="K205" s="10"/>
      <c r="L205" s="10"/>
      <c r="M205" s="10"/>
      <c r="N205" s="10"/>
    </row>
    <row r="206" ht="13.5" customHeight="1">
      <c r="J206" s="10"/>
      <c r="K206" s="10"/>
      <c r="L206" s="10"/>
      <c r="M206" s="10"/>
      <c r="N206" s="10"/>
    </row>
    <row r="207" ht="13.5" customHeight="1">
      <c r="J207" s="10"/>
      <c r="K207" s="10"/>
      <c r="L207" s="10"/>
      <c r="M207" s="10"/>
      <c r="N207" s="10"/>
    </row>
    <row r="208" ht="13.5" customHeight="1">
      <c r="J208" s="10"/>
      <c r="K208" s="10"/>
      <c r="L208" s="10"/>
      <c r="M208" s="10"/>
      <c r="N208" s="10"/>
    </row>
    <row r="209" ht="13.5" customHeight="1">
      <c r="J209" s="10"/>
      <c r="K209" s="10"/>
      <c r="L209" s="10"/>
      <c r="M209" s="10"/>
      <c r="N209" s="10"/>
    </row>
    <row r="210" ht="13.5" customHeight="1">
      <c r="J210" s="10"/>
      <c r="K210" s="10"/>
      <c r="L210" s="10"/>
      <c r="M210" s="10"/>
      <c r="N210" s="10"/>
    </row>
    <row r="211" ht="13.5" customHeight="1">
      <c r="J211" s="10"/>
      <c r="K211" s="10"/>
      <c r="L211" s="10"/>
      <c r="M211" s="10"/>
      <c r="N211" s="10"/>
    </row>
    <row r="212" ht="13.5" customHeight="1">
      <c r="J212" s="10"/>
      <c r="K212" s="10"/>
      <c r="L212" s="10"/>
      <c r="M212" s="10"/>
      <c r="N212" s="10"/>
    </row>
    <row r="213" ht="13.5" customHeight="1">
      <c r="J213" s="10"/>
      <c r="K213" s="10"/>
      <c r="L213" s="10"/>
      <c r="M213" s="10"/>
      <c r="N213" s="10"/>
    </row>
    <row r="214" ht="13.5" customHeight="1">
      <c r="J214" s="10"/>
      <c r="K214" s="10"/>
      <c r="L214" s="10"/>
      <c r="M214" s="10"/>
      <c r="N214" s="10"/>
    </row>
    <row r="215" ht="13.5" customHeight="1">
      <c r="J215" s="10"/>
      <c r="K215" s="10"/>
      <c r="L215" s="10"/>
      <c r="M215" s="10"/>
      <c r="N215" s="10"/>
    </row>
    <row r="216" ht="13.5" customHeight="1">
      <c r="J216" s="10"/>
      <c r="K216" s="10"/>
      <c r="L216" s="10"/>
      <c r="M216" s="10"/>
      <c r="N216" s="10"/>
    </row>
    <row r="217" ht="13.5" customHeight="1">
      <c r="J217" s="10"/>
      <c r="K217" s="10"/>
      <c r="L217" s="10"/>
      <c r="M217" s="10"/>
      <c r="N217" s="10"/>
    </row>
    <row r="218" ht="13.5" customHeight="1">
      <c r="J218" s="10"/>
      <c r="K218" s="10"/>
      <c r="L218" s="10"/>
      <c r="M218" s="10"/>
      <c r="N218" s="10"/>
    </row>
    <row r="219" ht="13.5" customHeight="1">
      <c r="J219" s="10"/>
      <c r="K219" s="10"/>
      <c r="L219" s="10"/>
      <c r="M219" s="10"/>
      <c r="N219" s="10"/>
    </row>
    <row r="220" ht="13.5" customHeight="1">
      <c r="J220" s="10"/>
      <c r="K220" s="10"/>
      <c r="L220" s="10"/>
      <c r="M220" s="10"/>
      <c r="N220" s="10"/>
    </row>
    <row r="221" ht="13.5" customHeight="1">
      <c r="J221" s="10"/>
      <c r="K221" s="10"/>
      <c r="L221" s="10"/>
      <c r="M221" s="10"/>
      <c r="N221" s="10"/>
    </row>
    <row r="222" ht="13.5" customHeight="1">
      <c r="J222" s="10"/>
      <c r="K222" s="10"/>
      <c r="L222" s="10"/>
      <c r="M222" s="10"/>
      <c r="N222" s="10"/>
    </row>
    <row r="223" ht="13.5" customHeight="1">
      <c r="J223" s="10"/>
      <c r="K223" s="10"/>
      <c r="L223" s="10"/>
      <c r="M223" s="10"/>
      <c r="N223" s="10"/>
    </row>
    <row r="224" ht="13.5" customHeight="1">
      <c r="J224" s="10"/>
      <c r="K224" s="10"/>
      <c r="L224" s="10"/>
      <c r="M224" s="10"/>
      <c r="N224" s="10"/>
    </row>
    <row r="225" ht="13.5" customHeight="1">
      <c r="J225" s="10"/>
      <c r="K225" s="10"/>
      <c r="L225" s="10"/>
      <c r="M225" s="10"/>
      <c r="N225" s="10"/>
    </row>
    <row r="226" ht="13.5" customHeight="1">
      <c r="J226" s="10"/>
      <c r="K226" s="10"/>
      <c r="L226" s="10"/>
      <c r="M226" s="10"/>
      <c r="N226" s="10"/>
    </row>
    <row r="227" ht="13.5" customHeight="1">
      <c r="J227" s="10"/>
      <c r="K227" s="10"/>
      <c r="L227" s="10"/>
      <c r="M227" s="10"/>
      <c r="N227" s="10"/>
    </row>
    <row r="228" ht="13.5" customHeight="1">
      <c r="J228" s="10"/>
      <c r="K228" s="10"/>
      <c r="L228" s="10"/>
      <c r="M228" s="10"/>
      <c r="N228" s="10"/>
    </row>
    <row r="229" ht="13.5" customHeight="1">
      <c r="J229" s="10"/>
      <c r="K229" s="10"/>
      <c r="L229" s="10"/>
      <c r="M229" s="10"/>
      <c r="N229" s="10"/>
    </row>
    <row r="230" ht="13.5" customHeight="1">
      <c r="J230" s="10"/>
      <c r="K230" s="10"/>
      <c r="L230" s="10"/>
      <c r="M230" s="10"/>
      <c r="N230" s="10"/>
    </row>
    <row r="231" ht="13.5" customHeight="1">
      <c r="J231" s="10"/>
      <c r="K231" s="10"/>
      <c r="L231" s="10"/>
      <c r="M231" s="10"/>
      <c r="N231" s="10"/>
    </row>
    <row r="232" ht="13.5" customHeight="1">
      <c r="J232" s="10"/>
      <c r="K232" s="10"/>
      <c r="L232" s="10"/>
      <c r="M232" s="10"/>
      <c r="N232" s="10"/>
    </row>
    <row r="233" ht="13.5" customHeight="1">
      <c r="J233" s="10"/>
      <c r="K233" s="10"/>
      <c r="L233" s="10"/>
      <c r="M233" s="10"/>
      <c r="N233" s="10"/>
    </row>
    <row r="234" ht="13.5" customHeight="1">
      <c r="J234" s="10"/>
      <c r="K234" s="10"/>
      <c r="L234" s="10"/>
      <c r="M234" s="10"/>
      <c r="N234" s="10"/>
    </row>
    <row r="235" ht="13.5" customHeight="1">
      <c r="J235" s="10"/>
      <c r="K235" s="10"/>
      <c r="L235" s="10"/>
      <c r="M235" s="10"/>
      <c r="N235" s="10"/>
    </row>
    <row r="236" ht="13.5" customHeight="1">
      <c r="J236" s="10"/>
      <c r="K236" s="10"/>
      <c r="L236" s="10"/>
      <c r="M236" s="10"/>
      <c r="N236" s="10"/>
    </row>
    <row r="237" ht="13.5" customHeight="1">
      <c r="J237" s="10"/>
      <c r="K237" s="10"/>
      <c r="L237" s="10"/>
      <c r="M237" s="10"/>
      <c r="N237" s="10"/>
    </row>
    <row r="238" ht="13.5" customHeight="1">
      <c r="J238" s="10"/>
      <c r="K238" s="10"/>
      <c r="L238" s="10"/>
      <c r="M238" s="10"/>
      <c r="N238" s="10"/>
    </row>
    <row r="239" ht="13.5" customHeight="1">
      <c r="J239" s="10"/>
      <c r="K239" s="10"/>
      <c r="L239" s="10"/>
      <c r="M239" s="10"/>
      <c r="N239" s="10"/>
    </row>
    <row r="240" ht="13.5" customHeight="1">
      <c r="J240" s="10"/>
      <c r="K240" s="10"/>
      <c r="L240" s="10"/>
      <c r="M240" s="10"/>
      <c r="N240" s="10"/>
    </row>
    <row r="241" ht="13.5" customHeight="1">
      <c r="J241" s="10"/>
      <c r="K241" s="10"/>
      <c r="L241" s="10"/>
      <c r="M241" s="10"/>
      <c r="N241" s="10"/>
    </row>
    <row r="242" ht="13.5" customHeight="1">
      <c r="J242" s="10"/>
      <c r="K242" s="10"/>
      <c r="L242" s="10"/>
      <c r="M242" s="10"/>
      <c r="N242" s="10"/>
    </row>
    <row r="243" ht="13.5" customHeight="1">
      <c r="J243" s="10"/>
      <c r="K243" s="10"/>
      <c r="L243" s="10"/>
      <c r="M243" s="10"/>
      <c r="N243" s="10"/>
    </row>
    <row r="244" ht="13.5" customHeight="1">
      <c r="J244" s="10"/>
      <c r="K244" s="10"/>
      <c r="L244" s="10"/>
      <c r="M244" s="10"/>
      <c r="N244" s="10"/>
    </row>
    <row r="245" ht="13.5" customHeight="1">
      <c r="J245" s="10"/>
      <c r="K245" s="10"/>
      <c r="L245" s="10"/>
      <c r="M245" s="10"/>
      <c r="N245" s="10"/>
    </row>
    <row r="246" ht="13.5" customHeight="1">
      <c r="J246" s="10"/>
      <c r="K246" s="10"/>
      <c r="L246" s="10"/>
      <c r="M246" s="10"/>
      <c r="N246" s="10"/>
    </row>
    <row r="247" ht="13.5" customHeight="1">
      <c r="J247" s="10"/>
      <c r="K247" s="10"/>
      <c r="L247" s="10"/>
      <c r="M247" s="10"/>
      <c r="N247" s="10"/>
    </row>
    <row r="248" ht="13.5" customHeight="1">
      <c r="J248" s="10"/>
      <c r="K248" s="10"/>
      <c r="L248" s="10"/>
      <c r="M248" s="10"/>
      <c r="N248" s="10"/>
    </row>
    <row r="249" ht="13.5" customHeight="1">
      <c r="J249" s="10"/>
      <c r="K249" s="10"/>
      <c r="L249" s="10"/>
      <c r="M249" s="10"/>
      <c r="N249" s="10"/>
    </row>
    <row r="250" ht="13.5" customHeight="1">
      <c r="J250" s="10"/>
      <c r="K250" s="10"/>
      <c r="L250" s="10"/>
      <c r="M250" s="10"/>
      <c r="N250" s="10"/>
    </row>
    <row r="251" ht="13.5" customHeight="1">
      <c r="J251" s="10"/>
      <c r="K251" s="10"/>
      <c r="L251" s="10"/>
      <c r="M251" s="10"/>
      <c r="N251" s="10"/>
    </row>
    <row r="252" ht="13.5" customHeight="1">
      <c r="J252" s="10"/>
      <c r="K252" s="10"/>
      <c r="L252" s="10"/>
      <c r="M252" s="10"/>
      <c r="N252" s="10"/>
    </row>
    <row r="253" ht="13.5" customHeight="1">
      <c r="J253" s="10"/>
      <c r="K253" s="10"/>
      <c r="L253" s="10"/>
      <c r="M253" s="10"/>
      <c r="N253" s="10"/>
    </row>
    <row r="254" ht="13.5" customHeight="1">
      <c r="J254" s="10"/>
      <c r="K254" s="10"/>
      <c r="L254" s="10"/>
      <c r="M254" s="10"/>
      <c r="N254" s="10"/>
    </row>
    <row r="255" ht="13.5" customHeight="1">
      <c r="J255" s="10"/>
      <c r="K255" s="10"/>
      <c r="L255" s="10"/>
      <c r="M255" s="10"/>
      <c r="N255" s="10"/>
    </row>
    <row r="256" ht="13.5" customHeight="1">
      <c r="J256" s="10"/>
      <c r="K256" s="10"/>
      <c r="L256" s="10"/>
      <c r="M256" s="10"/>
      <c r="N256" s="10"/>
    </row>
    <row r="257" ht="13.5" customHeight="1">
      <c r="J257" s="10"/>
      <c r="K257" s="10"/>
      <c r="L257" s="10"/>
      <c r="M257" s="10"/>
      <c r="N257" s="10"/>
    </row>
    <row r="258" ht="13.5" customHeight="1">
      <c r="J258" s="10"/>
      <c r="K258" s="10"/>
      <c r="L258" s="10"/>
      <c r="M258" s="10"/>
      <c r="N258" s="10"/>
    </row>
    <row r="259" ht="13.5" customHeight="1">
      <c r="J259" s="10"/>
      <c r="K259" s="10"/>
      <c r="L259" s="10"/>
      <c r="M259" s="10"/>
      <c r="N259" s="10"/>
    </row>
    <row r="260" ht="13.5" customHeight="1">
      <c r="J260" s="10"/>
      <c r="K260" s="10"/>
      <c r="L260" s="10"/>
      <c r="M260" s="10"/>
      <c r="N260" s="10"/>
    </row>
    <row r="261" ht="13.5" customHeight="1">
      <c r="J261" s="10"/>
      <c r="K261" s="10"/>
      <c r="L261" s="10"/>
      <c r="M261" s="10"/>
      <c r="N261" s="10"/>
    </row>
    <row r="262" ht="13.5" customHeight="1">
      <c r="J262" s="10"/>
      <c r="K262" s="10"/>
      <c r="L262" s="10"/>
      <c r="M262" s="10"/>
      <c r="N262" s="10"/>
    </row>
    <row r="263" ht="13.5" customHeight="1">
      <c r="J263" s="10"/>
      <c r="K263" s="10"/>
      <c r="L263" s="10"/>
      <c r="M263" s="10"/>
      <c r="N263" s="10"/>
    </row>
    <row r="264" ht="13.5" customHeight="1">
      <c r="J264" s="10"/>
      <c r="K264" s="10"/>
      <c r="L264" s="10"/>
      <c r="M264" s="10"/>
      <c r="N264" s="10"/>
    </row>
    <row r="265" ht="13.5" customHeight="1">
      <c r="J265" s="10"/>
      <c r="K265" s="10"/>
      <c r="L265" s="10"/>
      <c r="M265" s="10"/>
      <c r="N265" s="10"/>
    </row>
    <row r="266" ht="13.5" customHeight="1">
      <c r="J266" s="10"/>
      <c r="K266" s="10"/>
      <c r="L266" s="10"/>
      <c r="M266" s="10"/>
      <c r="N266" s="10"/>
    </row>
    <row r="267" ht="13.5" customHeight="1">
      <c r="J267" s="10"/>
      <c r="K267" s="10"/>
      <c r="L267" s="10"/>
      <c r="M267" s="10"/>
      <c r="N267" s="10"/>
    </row>
    <row r="268" ht="13.5" customHeight="1">
      <c r="J268" s="10"/>
      <c r="K268" s="10"/>
      <c r="L268" s="10"/>
      <c r="M268" s="10"/>
      <c r="N268" s="10"/>
    </row>
    <row r="269" ht="13.5" customHeight="1">
      <c r="J269" s="10"/>
      <c r="K269" s="10"/>
      <c r="L269" s="10"/>
      <c r="M269" s="10"/>
      <c r="N269" s="10"/>
    </row>
    <row r="270" ht="13.5" customHeight="1">
      <c r="J270" s="10"/>
      <c r="K270" s="10"/>
      <c r="L270" s="10"/>
      <c r="M270" s="10"/>
      <c r="N270" s="10"/>
    </row>
    <row r="271" ht="13.5" customHeight="1">
      <c r="J271" s="10"/>
      <c r="K271" s="10"/>
      <c r="L271" s="10"/>
      <c r="M271" s="10"/>
      <c r="N271" s="10"/>
    </row>
    <row r="272" ht="13.5" customHeight="1">
      <c r="J272" s="10"/>
      <c r="K272" s="10"/>
      <c r="L272" s="10"/>
      <c r="M272" s="10"/>
      <c r="N272" s="10"/>
    </row>
    <row r="273" ht="13.5" customHeight="1">
      <c r="J273" s="10"/>
      <c r="K273" s="10"/>
      <c r="L273" s="10"/>
      <c r="M273" s="10"/>
      <c r="N273" s="10"/>
    </row>
    <row r="274" ht="13.5" customHeight="1">
      <c r="J274" s="10"/>
      <c r="K274" s="10"/>
      <c r="L274" s="10"/>
      <c r="M274" s="10"/>
      <c r="N274" s="10"/>
    </row>
    <row r="275" ht="13.5" customHeight="1">
      <c r="J275" s="10"/>
      <c r="K275" s="10"/>
      <c r="L275" s="10"/>
      <c r="M275" s="10"/>
      <c r="N275" s="10"/>
    </row>
    <row r="276" ht="13.5" customHeight="1">
      <c r="J276" s="10"/>
      <c r="K276" s="10"/>
      <c r="L276" s="10"/>
      <c r="M276" s="10"/>
      <c r="N276" s="10"/>
    </row>
    <row r="277" ht="13.5" customHeight="1">
      <c r="J277" s="10"/>
      <c r="K277" s="10"/>
      <c r="L277" s="10"/>
      <c r="M277" s="10"/>
      <c r="N277" s="10"/>
    </row>
    <row r="278" ht="13.5" customHeight="1">
      <c r="J278" s="10"/>
      <c r="K278" s="10"/>
      <c r="L278" s="10"/>
      <c r="M278" s="10"/>
      <c r="N278" s="10"/>
    </row>
    <row r="279" ht="13.5" customHeight="1">
      <c r="J279" s="10"/>
      <c r="K279" s="10"/>
      <c r="L279" s="10"/>
      <c r="M279" s="10"/>
      <c r="N279" s="10"/>
    </row>
    <row r="280" ht="13.5" customHeight="1">
      <c r="J280" s="10"/>
      <c r="K280" s="10"/>
      <c r="L280" s="10"/>
      <c r="M280" s="10"/>
      <c r="N280" s="10"/>
    </row>
    <row r="281" ht="13.5" customHeight="1">
      <c r="J281" s="10"/>
      <c r="K281" s="10"/>
      <c r="L281" s="10"/>
      <c r="M281" s="10"/>
      <c r="N281" s="10"/>
    </row>
    <row r="282" ht="13.5" customHeight="1">
      <c r="J282" s="10"/>
      <c r="K282" s="10"/>
      <c r="L282" s="10"/>
      <c r="M282" s="10"/>
      <c r="N282" s="10"/>
    </row>
    <row r="283" ht="13.5" customHeight="1">
      <c r="J283" s="10"/>
      <c r="K283" s="10"/>
      <c r="L283" s="10"/>
      <c r="M283" s="10"/>
      <c r="N283" s="10"/>
    </row>
    <row r="284" ht="13.5" customHeight="1">
      <c r="J284" s="10"/>
      <c r="K284" s="10"/>
      <c r="L284" s="10"/>
      <c r="M284" s="10"/>
      <c r="N284" s="10"/>
    </row>
    <row r="285" ht="13.5" customHeight="1">
      <c r="J285" s="10"/>
      <c r="K285" s="10"/>
      <c r="L285" s="10"/>
      <c r="M285" s="10"/>
      <c r="N285" s="10"/>
    </row>
    <row r="286" ht="13.5" customHeight="1">
      <c r="J286" s="10"/>
      <c r="K286" s="10"/>
      <c r="L286" s="10"/>
      <c r="M286" s="10"/>
      <c r="N286" s="10"/>
    </row>
    <row r="287" ht="13.5" customHeight="1">
      <c r="J287" s="10"/>
      <c r="K287" s="10"/>
      <c r="L287" s="10"/>
      <c r="M287" s="10"/>
      <c r="N287" s="10"/>
    </row>
    <row r="288" ht="13.5" customHeight="1">
      <c r="J288" s="10"/>
      <c r="K288" s="10"/>
      <c r="L288" s="10"/>
      <c r="M288" s="10"/>
      <c r="N288" s="10"/>
    </row>
    <row r="289" ht="13.5" customHeight="1">
      <c r="J289" s="10"/>
      <c r="K289" s="10"/>
      <c r="L289" s="10"/>
      <c r="M289" s="10"/>
      <c r="N289" s="10"/>
    </row>
    <row r="290" ht="13.5" customHeight="1">
      <c r="J290" s="10"/>
      <c r="K290" s="10"/>
      <c r="L290" s="10"/>
      <c r="M290" s="10"/>
      <c r="N290" s="10"/>
    </row>
    <row r="291" ht="13.5" customHeight="1">
      <c r="J291" s="10"/>
      <c r="K291" s="10"/>
      <c r="L291" s="10"/>
      <c r="M291" s="10"/>
      <c r="N291" s="10"/>
    </row>
    <row r="292" ht="13.5" customHeight="1">
      <c r="J292" s="10"/>
      <c r="K292" s="10"/>
      <c r="L292" s="10"/>
      <c r="M292" s="10"/>
      <c r="N292" s="10"/>
    </row>
    <row r="293" ht="13.5" customHeight="1">
      <c r="J293" s="10"/>
      <c r="K293" s="10"/>
      <c r="L293" s="10"/>
      <c r="M293" s="10"/>
      <c r="N293" s="10"/>
    </row>
    <row r="294" ht="13.5" customHeight="1">
      <c r="J294" s="10"/>
      <c r="K294" s="10"/>
      <c r="L294" s="10"/>
      <c r="M294" s="10"/>
      <c r="N294" s="10"/>
    </row>
    <row r="295" ht="13.5" customHeight="1">
      <c r="J295" s="10"/>
      <c r="K295" s="10"/>
      <c r="L295" s="10"/>
      <c r="M295" s="10"/>
      <c r="N295" s="10"/>
    </row>
    <row r="296" ht="13.5" customHeight="1">
      <c r="J296" s="10"/>
      <c r="K296" s="10"/>
      <c r="L296" s="10"/>
      <c r="M296" s="10"/>
      <c r="N296" s="10"/>
    </row>
    <row r="297" ht="13.5" customHeight="1">
      <c r="J297" s="10"/>
      <c r="K297" s="10"/>
      <c r="L297" s="10"/>
      <c r="M297" s="10"/>
      <c r="N297" s="10"/>
    </row>
    <row r="298" ht="13.5" customHeight="1">
      <c r="J298" s="10"/>
      <c r="K298" s="10"/>
      <c r="L298" s="10"/>
      <c r="M298" s="10"/>
      <c r="N298" s="10"/>
    </row>
    <row r="299" ht="13.5" customHeight="1">
      <c r="J299" s="10"/>
      <c r="K299" s="10"/>
      <c r="L299" s="10"/>
      <c r="M299" s="10"/>
      <c r="N299" s="10"/>
    </row>
    <row r="300" ht="13.5" customHeight="1">
      <c r="J300" s="10"/>
      <c r="K300" s="10"/>
      <c r="L300" s="10"/>
      <c r="M300" s="10"/>
      <c r="N300" s="10"/>
    </row>
    <row r="301" ht="13.5" customHeight="1">
      <c r="J301" s="10"/>
      <c r="K301" s="10"/>
      <c r="L301" s="10"/>
      <c r="M301" s="10"/>
      <c r="N301" s="10"/>
    </row>
    <row r="302" ht="13.5" customHeight="1">
      <c r="J302" s="10"/>
      <c r="K302" s="10"/>
      <c r="L302" s="10"/>
      <c r="M302" s="10"/>
      <c r="N302" s="10"/>
    </row>
    <row r="303" ht="13.5" customHeight="1">
      <c r="J303" s="10"/>
      <c r="K303" s="10"/>
      <c r="L303" s="10"/>
      <c r="M303" s="10"/>
      <c r="N303" s="10"/>
    </row>
    <row r="304" ht="13.5" customHeight="1">
      <c r="J304" s="10"/>
      <c r="K304" s="10"/>
      <c r="L304" s="10"/>
      <c r="M304" s="10"/>
      <c r="N304" s="10"/>
    </row>
    <row r="305" ht="13.5" customHeight="1">
      <c r="J305" s="10"/>
      <c r="K305" s="10"/>
      <c r="L305" s="10"/>
      <c r="M305" s="10"/>
      <c r="N305" s="10"/>
    </row>
    <row r="306" ht="13.5" customHeight="1">
      <c r="J306" s="10"/>
      <c r="K306" s="10"/>
      <c r="L306" s="10"/>
      <c r="M306" s="10"/>
      <c r="N306" s="10"/>
    </row>
    <row r="307" ht="13.5" customHeight="1">
      <c r="J307" s="10"/>
      <c r="K307" s="10"/>
      <c r="L307" s="10"/>
      <c r="M307" s="10"/>
      <c r="N307" s="10"/>
    </row>
    <row r="308" ht="13.5" customHeight="1">
      <c r="J308" s="10"/>
      <c r="K308" s="10"/>
      <c r="L308" s="10"/>
      <c r="M308" s="10"/>
      <c r="N308" s="10"/>
    </row>
    <row r="309" ht="13.5" customHeight="1">
      <c r="J309" s="10"/>
      <c r="K309" s="10"/>
      <c r="L309" s="10"/>
      <c r="M309" s="10"/>
      <c r="N309" s="10"/>
    </row>
    <row r="310" ht="13.5" customHeight="1">
      <c r="J310" s="10"/>
      <c r="K310" s="10"/>
      <c r="L310" s="10"/>
      <c r="M310" s="10"/>
      <c r="N310" s="10"/>
    </row>
    <row r="311" ht="13.5" customHeight="1">
      <c r="J311" s="10"/>
      <c r="K311" s="10"/>
      <c r="L311" s="10"/>
      <c r="M311" s="10"/>
      <c r="N311" s="10"/>
    </row>
    <row r="312" ht="13.5" customHeight="1">
      <c r="J312" s="10"/>
      <c r="K312" s="10"/>
      <c r="L312" s="10"/>
      <c r="M312" s="10"/>
      <c r="N312" s="10"/>
    </row>
    <row r="313" ht="13.5" customHeight="1">
      <c r="J313" s="10"/>
      <c r="K313" s="10"/>
      <c r="L313" s="10"/>
      <c r="M313" s="10"/>
      <c r="N313" s="10"/>
    </row>
    <row r="314" ht="13.5" customHeight="1">
      <c r="J314" s="10"/>
      <c r="K314" s="10"/>
      <c r="L314" s="10"/>
      <c r="M314" s="10"/>
      <c r="N314" s="10"/>
    </row>
    <row r="315" ht="13.5" customHeight="1">
      <c r="J315" s="10"/>
      <c r="K315" s="10"/>
      <c r="L315" s="10"/>
      <c r="M315" s="10"/>
      <c r="N315" s="10"/>
    </row>
    <row r="316" ht="13.5" customHeight="1">
      <c r="J316" s="10"/>
      <c r="K316" s="10"/>
      <c r="L316" s="10"/>
      <c r="M316" s="10"/>
      <c r="N316" s="10"/>
    </row>
    <row r="317" ht="13.5" customHeight="1">
      <c r="J317" s="10"/>
      <c r="K317" s="10"/>
      <c r="L317" s="10"/>
      <c r="M317" s="10"/>
      <c r="N317" s="10"/>
    </row>
    <row r="318" ht="13.5" customHeight="1">
      <c r="J318" s="10"/>
      <c r="K318" s="10"/>
      <c r="L318" s="10"/>
      <c r="M318" s="10"/>
      <c r="N318" s="10"/>
    </row>
    <row r="319" ht="13.5" customHeight="1">
      <c r="J319" s="10"/>
      <c r="K319" s="10"/>
      <c r="L319" s="10"/>
      <c r="M319" s="10"/>
      <c r="N319" s="10"/>
    </row>
    <row r="320" ht="13.5" customHeight="1">
      <c r="J320" s="10"/>
      <c r="K320" s="10"/>
      <c r="L320" s="10"/>
      <c r="M320" s="10"/>
      <c r="N320" s="10"/>
    </row>
    <row r="321" ht="13.5" customHeight="1">
      <c r="J321" s="10"/>
      <c r="K321" s="10"/>
      <c r="L321" s="10"/>
      <c r="M321" s="10"/>
      <c r="N321" s="10"/>
    </row>
    <row r="322" ht="13.5" customHeight="1">
      <c r="J322" s="10"/>
      <c r="K322" s="10"/>
      <c r="L322" s="10"/>
      <c r="M322" s="10"/>
      <c r="N322" s="10"/>
    </row>
    <row r="323" ht="13.5" customHeight="1">
      <c r="J323" s="10"/>
      <c r="K323" s="10"/>
      <c r="L323" s="10"/>
      <c r="M323" s="10"/>
      <c r="N323" s="10"/>
    </row>
    <row r="324" ht="13.5" customHeight="1">
      <c r="J324" s="10"/>
      <c r="K324" s="10"/>
      <c r="L324" s="10"/>
      <c r="M324" s="10"/>
      <c r="N324" s="10"/>
    </row>
    <row r="325" ht="13.5" customHeight="1">
      <c r="J325" s="10"/>
      <c r="K325" s="10"/>
      <c r="L325" s="10"/>
      <c r="M325" s="10"/>
      <c r="N325" s="10"/>
    </row>
    <row r="326" ht="13.5" customHeight="1">
      <c r="J326" s="10"/>
      <c r="K326" s="10"/>
      <c r="L326" s="10"/>
      <c r="M326" s="10"/>
      <c r="N326" s="10"/>
    </row>
    <row r="327" ht="13.5" customHeight="1">
      <c r="J327" s="10"/>
      <c r="K327" s="10"/>
      <c r="L327" s="10"/>
      <c r="M327" s="10"/>
      <c r="N327" s="10"/>
    </row>
    <row r="328" ht="13.5" customHeight="1">
      <c r="J328" s="10"/>
      <c r="K328" s="10"/>
      <c r="L328" s="10"/>
      <c r="M328" s="10"/>
      <c r="N328" s="10"/>
    </row>
    <row r="329" ht="13.5" customHeight="1">
      <c r="J329" s="10"/>
      <c r="K329" s="10"/>
      <c r="L329" s="10"/>
      <c r="M329" s="10"/>
      <c r="N329" s="10"/>
    </row>
    <row r="330" ht="13.5" customHeight="1">
      <c r="J330" s="10"/>
      <c r="K330" s="10"/>
      <c r="L330" s="10"/>
      <c r="M330" s="10"/>
      <c r="N330" s="10"/>
    </row>
    <row r="331" ht="13.5" customHeight="1">
      <c r="J331" s="10"/>
      <c r="K331" s="10"/>
      <c r="L331" s="10"/>
      <c r="M331" s="10"/>
      <c r="N331" s="10"/>
    </row>
    <row r="332" ht="13.5" customHeight="1">
      <c r="J332" s="10"/>
      <c r="K332" s="10"/>
      <c r="L332" s="10"/>
      <c r="M332" s="10"/>
      <c r="N332" s="10"/>
    </row>
    <row r="333" ht="13.5" customHeight="1">
      <c r="J333" s="10"/>
      <c r="K333" s="10"/>
      <c r="L333" s="10"/>
      <c r="M333" s="10"/>
      <c r="N333" s="10"/>
    </row>
    <row r="334" ht="13.5" customHeight="1">
      <c r="J334" s="10"/>
      <c r="K334" s="10"/>
      <c r="L334" s="10"/>
      <c r="M334" s="10"/>
      <c r="N334" s="10"/>
    </row>
    <row r="335" ht="13.5" customHeight="1">
      <c r="J335" s="10"/>
      <c r="K335" s="10"/>
      <c r="L335" s="10"/>
      <c r="M335" s="10"/>
      <c r="N335" s="10"/>
    </row>
    <row r="336" ht="13.5" customHeight="1">
      <c r="J336" s="10"/>
      <c r="K336" s="10"/>
      <c r="L336" s="10"/>
      <c r="M336" s="10"/>
      <c r="N336" s="10"/>
    </row>
    <row r="337" ht="13.5" customHeight="1">
      <c r="J337" s="10"/>
      <c r="K337" s="10"/>
      <c r="L337" s="10"/>
      <c r="M337" s="10"/>
      <c r="N337" s="10"/>
    </row>
    <row r="338" ht="13.5" customHeight="1">
      <c r="J338" s="10"/>
      <c r="K338" s="10"/>
      <c r="L338" s="10"/>
      <c r="M338" s="10"/>
      <c r="N338" s="10"/>
    </row>
    <row r="339" ht="13.5" customHeight="1">
      <c r="J339" s="10"/>
      <c r="K339" s="10"/>
      <c r="L339" s="10"/>
      <c r="M339" s="10"/>
      <c r="N339" s="10"/>
    </row>
    <row r="340" ht="13.5" customHeight="1">
      <c r="J340" s="10"/>
      <c r="K340" s="10"/>
      <c r="L340" s="10"/>
      <c r="M340" s="10"/>
      <c r="N340" s="10"/>
    </row>
    <row r="341" ht="13.5" customHeight="1">
      <c r="J341" s="10"/>
      <c r="K341" s="10"/>
      <c r="L341" s="10"/>
      <c r="M341" s="10"/>
      <c r="N341" s="10"/>
    </row>
    <row r="342" ht="13.5" customHeight="1">
      <c r="J342" s="10"/>
      <c r="K342" s="10"/>
      <c r="L342" s="10"/>
      <c r="M342" s="10"/>
      <c r="N342" s="10"/>
    </row>
    <row r="343" ht="13.5" customHeight="1">
      <c r="J343" s="10"/>
      <c r="K343" s="10"/>
      <c r="L343" s="10"/>
      <c r="M343" s="10"/>
      <c r="N343" s="10"/>
    </row>
    <row r="344" ht="13.5" customHeight="1">
      <c r="J344" s="10"/>
      <c r="K344" s="10"/>
      <c r="L344" s="10"/>
      <c r="M344" s="10"/>
      <c r="N344" s="10"/>
    </row>
    <row r="345" ht="13.5" customHeight="1">
      <c r="J345" s="10"/>
      <c r="K345" s="10"/>
      <c r="L345" s="10"/>
      <c r="M345" s="10"/>
      <c r="N345" s="10"/>
    </row>
    <row r="346" ht="13.5" customHeight="1">
      <c r="J346" s="10"/>
      <c r="K346" s="10"/>
      <c r="L346" s="10"/>
      <c r="M346" s="10"/>
      <c r="N346" s="10"/>
    </row>
    <row r="347" ht="13.5" customHeight="1">
      <c r="J347" s="10"/>
      <c r="K347" s="10"/>
      <c r="L347" s="10"/>
      <c r="M347" s="10"/>
      <c r="N347" s="10"/>
    </row>
    <row r="348" ht="13.5" customHeight="1">
      <c r="J348" s="10"/>
      <c r="K348" s="10"/>
      <c r="L348" s="10"/>
      <c r="M348" s="10"/>
      <c r="N348" s="10"/>
    </row>
    <row r="349" ht="13.5" customHeight="1">
      <c r="J349" s="10"/>
      <c r="K349" s="10"/>
      <c r="L349" s="10"/>
      <c r="M349" s="10"/>
      <c r="N349" s="10"/>
    </row>
    <row r="350" ht="13.5" customHeight="1">
      <c r="J350" s="10"/>
      <c r="K350" s="10"/>
      <c r="L350" s="10"/>
      <c r="M350" s="10"/>
      <c r="N350" s="10"/>
    </row>
    <row r="351" ht="13.5" customHeight="1">
      <c r="J351" s="10"/>
      <c r="K351" s="10"/>
      <c r="L351" s="10"/>
      <c r="M351" s="10"/>
      <c r="N351" s="10"/>
    </row>
    <row r="352" ht="13.5" customHeight="1">
      <c r="J352" s="10"/>
      <c r="K352" s="10"/>
      <c r="L352" s="10"/>
      <c r="M352" s="10"/>
      <c r="N352" s="10"/>
    </row>
    <row r="353" ht="13.5" customHeight="1">
      <c r="J353" s="10"/>
      <c r="K353" s="10"/>
      <c r="L353" s="10"/>
      <c r="M353" s="10"/>
      <c r="N353" s="10"/>
    </row>
    <row r="354" ht="13.5" customHeight="1">
      <c r="J354" s="10"/>
      <c r="K354" s="10"/>
      <c r="L354" s="10"/>
      <c r="M354" s="10"/>
      <c r="N354" s="10"/>
    </row>
    <row r="355" ht="13.5" customHeight="1">
      <c r="J355" s="10"/>
      <c r="K355" s="10"/>
      <c r="L355" s="10"/>
      <c r="M355" s="10"/>
      <c r="N355" s="10"/>
    </row>
    <row r="356" ht="13.5" customHeight="1">
      <c r="J356" s="10"/>
      <c r="K356" s="10"/>
      <c r="L356" s="10"/>
      <c r="M356" s="10"/>
      <c r="N356" s="10"/>
    </row>
    <row r="357" ht="13.5" customHeight="1">
      <c r="J357" s="10"/>
      <c r="K357" s="10"/>
      <c r="L357" s="10"/>
      <c r="M357" s="10"/>
      <c r="N357" s="10"/>
    </row>
    <row r="358" ht="13.5" customHeight="1">
      <c r="J358" s="10"/>
      <c r="K358" s="10"/>
      <c r="L358" s="10"/>
      <c r="M358" s="10"/>
      <c r="N358" s="10"/>
    </row>
    <row r="359" ht="13.5" customHeight="1">
      <c r="J359" s="10"/>
      <c r="K359" s="10"/>
      <c r="L359" s="10"/>
      <c r="M359" s="10"/>
      <c r="N359" s="10"/>
    </row>
    <row r="360" ht="13.5" customHeight="1">
      <c r="J360" s="10"/>
      <c r="K360" s="10"/>
      <c r="L360" s="10"/>
      <c r="M360" s="10"/>
      <c r="N360" s="10"/>
    </row>
    <row r="361" ht="13.5" customHeight="1">
      <c r="J361" s="10"/>
      <c r="K361" s="10"/>
      <c r="L361" s="10"/>
      <c r="M361" s="10"/>
      <c r="N361" s="10"/>
    </row>
    <row r="362" ht="13.5" customHeight="1">
      <c r="J362" s="10"/>
      <c r="K362" s="10"/>
      <c r="L362" s="10"/>
      <c r="M362" s="10"/>
      <c r="N362" s="10"/>
    </row>
    <row r="363" ht="13.5" customHeight="1">
      <c r="J363" s="10"/>
      <c r="K363" s="10"/>
      <c r="L363" s="10"/>
      <c r="M363" s="10"/>
      <c r="N363" s="10"/>
    </row>
    <row r="364" ht="13.5" customHeight="1">
      <c r="J364" s="10"/>
      <c r="K364" s="10"/>
      <c r="L364" s="10"/>
      <c r="M364" s="10"/>
      <c r="N364" s="10"/>
    </row>
    <row r="365" ht="13.5" customHeight="1">
      <c r="J365" s="10"/>
      <c r="K365" s="10"/>
      <c r="L365" s="10"/>
      <c r="M365" s="10"/>
      <c r="N365" s="10"/>
    </row>
    <row r="366" ht="13.5" customHeight="1">
      <c r="J366" s="10"/>
      <c r="K366" s="10"/>
      <c r="L366" s="10"/>
      <c r="M366" s="10"/>
      <c r="N366" s="10"/>
    </row>
    <row r="367" ht="13.5" customHeight="1">
      <c r="J367" s="10"/>
      <c r="K367" s="10"/>
      <c r="L367" s="10"/>
      <c r="M367" s="10"/>
      <c r="N367" s="10"/>
    </row>
    <row r="368" ht="13.5" customHeight="1">
      <c r="J368" s="10"/>
      <c r="K368" s="10"/>
      <c r="L368" s="10"/>
      <c r="M368" s="10"/>
      <c r="N368" s="10"/>
    </row>
    <row r="369" ht="13.5" customHeight="1">
      <c r="J369" s="10"/>
      <c r="K369" s="10"/>
      <c r="L369" s="10"/>
      <c r="M369" s="10"/>
      <c r="N369" s="10"/>
    </row>
    <row r="370" ht="13.5" customHeight="1">
      <c r="J370" s="10"/>
      <c r="K370" s="10"/>
      <c r="L370" s="10"/>
      <c r="M370" s="10"/>
      <c r="N370" s="10"/>
    </row>
    <row r="371" ht="13.5" customHeight="1">
      <c r="J371" s="10"/>
      <c r="K371" s="10"/>
      <c r="L371" s="10"/>
      <c r="M371" s="10"/>
      <c r="N371" s="10"/>
    </row>
    <row r="372" ht="13.5" customHeight="1">
      <c r="J372" s="10"/>
      <c r="K372" s="10"/>
      <c r="L372" s="10"/>
      <c r="M372" s="10"/>
      <c r="N372" s="10"/>
    </row>
    <row r="373" ht="13.5" customHeight="1">
      <c r="J373" s="10"/>
      <c r="K373" s="10"/>
      <c r="L373" s="10"/>
      <c r="M373" s="10"/>
      <c r="N373" s="10"/>
    </row>
    <row r="374" ht="13.5" customHeight="1">
      <c r="J374" s="10"/>
      <c r="K374" s="10"/>
      <c r="L374" s="10"/>
      <c r="M374" s="10"/>
      <c r="N374" s="10"/>
    </row>
    <row r="375" ht="13.5" customHeight="1">
      <c r="J375" s="10"/>
      <c r="K375" s="10"/>
      <c r="L375" s="10"/>
      <c r="M375" s="10"/>
      <c r="N375" s="10"/>
    </row>
    <row r="376" ht="13.5" customHeight="1">
      <c r="J376" s="10"/>
      <c r="K376" s="10"/>
      <c r="L376" s="10"/>
      <c r="M376" s="10"/>
      <c r="N376" s="10"/>
    </row>
    <row r="377" ht="13.5" customHeight="1">
      <c r="J377" s="10"/>
      <c r="K377" s="10"/>
      <c r="L377" s="10"/>
      <c r="M377" s="10"/>
      <c r="N377" s="10"/>
    </row>
    <row r="378" ht="13.5" customHeight="1">
      <c r="J378" s="10"/>
      <c r="K378" s="10"/>
      <c r="L378" s="10"/>
      <c r="M378" s="10"/>
      <c r="N378" s="10"/>
    </row>
    <row r="379" ht="13.5" customHeight="1">
      <c r="J379" s="10"/>
      <c r="K379" s="10"/>
      <c r="L379" s="10"/>
      <c r="M379" s="10"/>
      <c r="N379" s="10"/>
    </row>
    <row r="380" ht="13.5" customHeight="1">
      <c r="J380" s="10"/>
      <c r="K380" s="10"/>
      <c r="L380" s="10"/>
      <c r="M380" s="10"/>
      <c r="N380" s="10"/>
    </row>
    <row r="381" ht="13.5" customHeight="1">
      <c r="J381" s="10"/>
      <c r="K381" s="10"/>
      <c r="L381" s="10"/>
      <c r="M381" s="10"/>
      <c r="N381" s="10"/>
    </row>
    <row r="382" ht="13.5" customHeight="1">
      <c r="J382" s="10"/>
      <c r="K382" s="10"/>
      <c r="L382" s="10"/>
      <c r="M382" s="10"/>
      <c r="N382" s="10"/>
    </row>
    <row r="383" ht="13.5" customHeight="1">
      <c r="J383" s="10"/>
      <c r="K383" s="10"/>
      <c r="L383" s="10"/>
      <c r="M383" s="10"/>
      <c r="N383" s="10"/>
    </row>
    <row r="384" ht="13.5" customHeight="1">
      <c r="J384" s="10"/>
      <c r="K384" s="10"/>
      <c r="L384" s="10"/>
      <c r="M384" s="10"/>
      <c r="N384" s="10"/>
    </row>
    <row r="385" ht="13.5" customHeight="1">
      <c r="J385" s="10"/>
      <c r="K385" s="10"/>
      <c r="L385" s="10"/>
      <c r="M385" s="10"/>
      <c r="N385" s="10"/>
    </row>
    <row r="386" ht="13.5" customHeight="1">
      <c r="J386" s="10"/>
      <c r="K386" s="10"/>
      <c r="L386" s="10"/>
      <c r="M386" s="10"/>
      <c r="N386" s="10"/>
    </row>
    <row r="387" ht="13.5" customHeight="1">
      <c r="J387" s="10"/>
      <c r="K387" s="10"/>
      <c r="L387" s="10"/>
      <c r="M387" s="10"/>
      <c r="N387" s="10"/>
    </row>
    <row r="388" ht="13.5" customHeight="1">
      <c r="J388" s="10"/>
      <c r="K388" s="10"/>
      <c r="L388" s="10"/>
      <c r="M388" s="10"/>
      <c r="N388" s="10"/>
    </row>
    <row r="389" ht="13.5" customHeight="1">
      <c r="J389" s="10"/>
      <c r="K389" s="10"/>
      <c r="L389" s="10"/>
      <c r="M389" s="10"/>
      <c r="N389" s="10"/>
    </row>
    <row r="390" ht="13.5" customHeight="1">
      <c r="J390" s="10"/>
      <c r="K390" s="10"/>
      <c r="L390" s="10"/>
      <c r="M390" s="10"/>
      <c r="N390" s="10"/>
    </row>
    <row r="391" ht="13.5" customHeight="1">
      <c r="J391" s="10"/>
      <c r="K391" s="10"/>
      <c r="L391" s="10"/>
      <c r="M391" s="10"/>
      <c r="N391" s="10"/>
    </row>
    <row r="392" ht="13.5" customHeight="1">
      <c r="J392" s="10"/>
      <c r="K392" s="10"/>
      <c r="L392" s="10"/>
      <c r="M392" s="10"/>
      <c r="N392" s="10"/>
    </row>
    <row r="393" ht="13.5" customHeight="1">
      <c r="J393" s="10"/>
      <c r="K393" s="10"/>
      <c r="L393" s="10"/>
      <c r="M393" s="10"/>
      <c r="N393" s="10"/>
    </row>
    <row r="394" ht="13.5" customHeight="1">
      <c r="J394" s="10"/>
      <c r="K394" s="10"/>
      <c r="L394" s="10"/>
      <c r="M394" s="10"/>
      <c r="N394" s="10"/>
    </row>
    <row r="395" ht="13.5" customHeight="1">
      <c r="J395" s="10"/>
      <c r="K395" s="10"/>
      <c r="L395" s="10"/>
      <c r="M395" s="10"/>
      <c r="N395" s="10"/>
    </row>
    <row r="396" ht="13.5" customHeight="1">
      <c r="J396" s="10"/>
      <c r="K396" s="10"/>
      <c r="L396" s="10"/>
      <c r="M396" s="10"/>
      <c r="N396" s="10"/>
    </row>
    <row r="397" ht="13.5" customHeight="1">
      <c r="J397" s="10"/>
      <c r="K397" s="10"/>
      <c r="L397" s="10"/>
      <c r="M397" s="10"/>
      <c r="N397" s="10"/>
    </row>
    <row r="398" ht="13.5" customHeight="1">
      <c r="J398" s="10"/>
      <c r="K398" s="10"/>
      <c r="L398" s="10"/>
      <c r="M398" s="10"/>
      <c r="N398" s="10"/>
    </row>
    <row r="399" ht="13.5" customHeight="1">
      <c r="J399" s="10"/>
      <c r="K399" s="10"/>
      <c r="L399" s="10"/>
      <c r="M399" s="10"/>
      <c r="N399" s="10"/>
    </row>
    <row r="400" ht="13.5" customHeight="1">
      <c r="J400" s="10"/>
      <c r="K400" s="10"/>
      <c r="L400" s="10"/>
      <c r="M400" s="10"/>
      <c r="N400" s="10"/>
    </row>
    <row r="401" ht="13.5" customHeight="1">
      <c r="J401" s="10"/>
      <c r="K401" s="10"/>
      <c r="L401" s="10"/>
      <c r="M401" s="10"/>
      <c r="N401" s="10"/>
    </row>
    <row r="402" ht="13.5" customHeight="1">
      <c r="J402" s="10"/>
      <c r="K402" s="10"/>
      <c r="L402" s="10"/>
      <c r="M402" s="10"/>
      <c r="N402" s="10"/>
    </row>
    <row r="403" ht="13.5" customHeight="1">
      <c r="J403" s="10"/>
      <c r="K403" s="10"/>
      <c r="L403" s="10"/>
      <c r="M403" s="10"/>
      <c r="N403" s="10"/>
    </row>
    <row r="404" ht="13.5" customHeight="1">
      <c r="J404" s="10"/>
      <c r="K404" s="10"/>
      <c r="L404" s="10"/>
      <c r="M404" s="10"/>
      <c r="N404" s="10"/>
    </row>
    <row r="405" ht="13.5" customHeight="1">
      <c r="J405" s="10"/>
      <c r="K405" s="10"/>
      <c r="L405" s="10"/>
      <c r="M405" s="10"/>
      <c r="N405" s="10"/>
    </row>
    <row r="406" ht="13.5" customHeight="1">
      <c r="J406" s="10"/>
      <c r="K406" s="10"/>
      <c r="L406" s="10"/>
      <c r="M406" s="10"/>
      <c r="N406" s="10"/>
    </row>
    <row r="407" ht="13.5" customHeight="1">
      <c r="J407" s="10"/>
      <c r="K407" s="10"/>
      <c r="L407" s="10"/>
      <c r="M407" s="10"/>
      <c r="N407" s="10"/>
    </row>
    <row r="408" ht="13.5" customHeight="1">
      <c r="J408" s="10"/>
      <c r="K408" s="10"/>
      <c r="L408" s="10"/>
      <c r="M408" s="10"/>
      <c r="N408" s="10"/>
    </row>
    <row r="409" ht="13.5" customHeight="1">
      <c r="J409" s="10"/>
      <c r="K409" s="10"/>
      <c r="L409" s="10"/>
      <c r="M409" s="10"/>
      <c r="N409" s="10"/>
    </row>
    <row r="410" ht="13.5" customHeight="1">
      <c r="J410" s="10"/>
      <c r="K410" s="10"/>
      <c r="L410" s="10"/>
      <c r="M410" s="10"/>
      <c r="N410" s="10"/>
    </row>
    <row r="411" ht="13.5" customHeight="1">
      <c r="J411" s="10"/>
      <c r="K411" s="10"/>
      <c r="L411" s="10"/>
      <c r="M411" s="10"/>
      <c r="N411" s="10"/>
    </row>
    <row r="412" ht="13.5" customHeight="1">
      <c r="J412" s="10"/>
      <c r="K412" s="10"/>
      <c r="L412" s="10"/>
      <c r="M412" s="10"/>
      <c r="N412" s="10"/>
    </row>
    <row r="413" ht="13.5" customHeight="1">
      <c r="J413" s="10"/>
      <c r="K413" s="10"/>
      <c r="L413" s="10"/>
      <c r="M413" s="10"/>
      <c r="N413" s="10"/>
    </row>
    <row r="414" ht="13.5" customHeight="1">
      <c r="J414" s="10"/>
      <c r="K414" s="10"/>
      <c r="L414" s="10"/>
      <c r="M414" s="10"/>
      <c r="N414" s="10"/>
    </row>
    <row r="415" ht="13.5" customHeight="1">
      <c r="J415" s="10"/>
      <c r="K415" s="10"/>
      <c r="L415" s="10"/>
      <c r="M415" s="10"/>
      <c r="N415" s="10"/>
    </row>
    <row r="416" ht="13.5" customHeight="1">
      <c r="J416" s="10"/>
      <c r="K416" s="10"/>
      <c r="L416" s="10"/>
      <c r="M416" s="10"/>
      <c r="N416" s="10"/>
    </row>
    <row r="417" ht="13.5" customHeight="1">
      <c r="J417" s="10"/>
      <c r="K417" s="10"/>
      <c r="L417" s="10"/>
      <c r="M417" s="10"/>
      <c r="N417" s="10"/>
    </row>
    <row r="418" ht="13.5" customHeight="1">
      <c r="J418" s="10"/>
      <c r="K418" s="10"/>
      <c r="L418" s="10"/>
      <c r="M418" s="10"/>
      <c r="N418" s="10"/>
    </row>
    <row r="419" ht="13.5" customHeight="1">
      <c r="J419" s="10"/>
      <c r="K419" s="10"/>
      <c r="L419" s="10"/>
      <c r="M419" s="10"/>
      <c r="N419" s="10"/>
    </row>
    <row r="420" ht="13.5" customHeight="1">
      <c r="J420" s="10"/>
      <c r="K420" s="10"/>
      <c r="L420" s="10"/>
      <c r="M420" s="10"/>
      <c r="N420" s="10"/>
    </row>
    <row r="421" ht="13.5" customHeight="1">
      <c r="J421" s="10"/>
      <c r="K421" s="10"/>
      <c r="L421" s="10"/>
      <c r="M421" s="10"/>
      <c r="N421" s="10"/>
    </row>
    <row r="422" ht="13.5" customHeight="1">
      <c r="J422" s="10"/>
      <c r="K422" s="10"/>
      <c r="L422" s="10"/>
      <c r="M422" s="10"/>
      <c r="N422" s="10"/>
    </row>
    <row r="423" ht="13.5" customHeight="1">
      <c r="J423" s="10"/>
      <c r="K423" s="10"/>
      <c r="L423" s="10"/>
      <c r="M423" s="10"/>
      <c r="N423" s="10"/>
    </row>
    <row r="424" ht="13.5" customHeight="1">
      <c r="J424" s="10"/>
      <c r="K424" s="10"/>
      <c r="L424" s="10"/>
      <c r="M424" s="10"/>
      <c r="N424" s="10"/>
    </row>
    <row r="425" ht="13.5" customHeight="1">
      <c r="J425" s="10"/>
      <c r="K425" s="10"/>
      <c r="L425" s="10"/>
      <c r="M425" s="10"/>
      <c r="N425" s="10"/>
    </row>
    <row r="426" ht="13.5" customHeight="1">
      <c r="J426" s="10"/>
      <c r="K426" s="10"/>
      <c r="L426" s="10"/>
      <c r="M426" s="10"/>
      <c r="N426" s="10"/>
    </row>
    <row r="427" ht="13.5" customHeight="1">
      <c r="J427" s="10"/>
      <c r="K427" s="10"/>
      <c r="L427" s="10"/>
      <c r="M427" s="10"/>
      <c r="N427" s="10"/>
    </row>
    <row r="428" ht="13.5" customHeight="1">
      <c r="J428" s="10"/>
      <c r="K428" s="10"/>
      <c r="L428" s="10"/>
      <c r="M428" s="10"/>
      <c r="N428" s="10"/>
    </row>
    <row r="429" ht="13.5" customHeight="1">
      <c r="J429" s="10"/>
      <c r="K429" s="10"/>
      <c r="L429" s="10"/>
      <c r="M429" s="10"/>
      <c r="N429" s="10"/>
    </row>
    <row r="430" ht="13.5" customHeight="1">
      <c r="J430" s="10"/>
      <c r="K430" s="10"/>
      <c r="L430" s="10"/>
      <c r="M430" s="10"/>
      <c r="N430" s="10"/>
    </row>
    <row r="431" ht="13.5" customHeight="1">
      <c r="J431" s="10"/>
      <c r="K431" s="10"/>
      <c r="L431" s="10"/>
      <c r="M431" s="10"/>
      <c r="N431" s="10"/>
    </row>
    <row r="432" ht="13.5" customHeight="1">
      <c r="J432" s="10"/>
      <c r="K432" s="10"/>
      <c r="L432" s="10"/>
      <c r="M432" s="10"/>
      <c r="N432" s="10"/>
    </row>
    <row r="433" ht="13.5" customHeight="1">
      <c r="J433" s="10"/>
      <c r="K433" s="10"/>
      <c r="L433" s="10"/>
      <c r="M433" s="10"/>
      <c r="N433" s="10"/>
    </row>
    <row r="434" ht="13.5" customHeight="1">
      <c r="J434" s="10"/>
      <c r="K434" s="10"/>
      <c r="L434" s="10"/>
      <c r="M434" s="10"/>
      <c r="N434" s="10"/>
    </row>
    <row r="435" ht="13.5" customHeight="1">
      <c r="J435" s="10"/>
      <c r="K435" s="10"/>
      <c r="L435" s="10"/>
      <c r="M435" s="10"/>
      <c r="N435" s="10"/>
    </row>
    <row r="436" ht="13.5" customHeight="1">
      <c r="J436" s="10"/>
      <c r="K436" s="10"/>
      <c r="L436" s="10"/>
      <c r="M436" s="10"/>
      <c r="N436" s="10"/>
    </row>
    <row r="437" ht="13.5" customHeight="1">
      <c r="J437" s="10"/>
      <c r="K437" s="10"/>
      <c r="L437" s="10"/>
      <c r="M437" s="10"/>
      <c r="N437" s="10"/>
    </row>
    <row r="438" ht="13.5" customHeight="1">
      <c r="J438" s="10"/>
      <c r="K438" s="10"/>
      <c r="L438" s="10"/>
      <c r="M438" s="10"/>
      <c r="N438" s="10"/>
    </row>
    <row r="439" ht="13.5" customHeight="1">
      <c r="J439" s="10"/>
      <c r="K439" s="10"/>
      <c r="L439" s="10"/>
      <c r="M439" s="10"/>
      <c r="N439" s="10"/>
    </row>
    <row r="440" ht="13.5" customHeight="1">
      <c r="J440" s="10"/>
      <c r="K440" s="10"/>
      <c r="L440" s="10"/>
      <c r="M440" s="10"/>
      <c r="N440" s="10"/>
    </row>
    <row r="441" ht="13.5" customHeight="1">
      <c r="J441" s="10"/>
      <c r="K441" s="10"/>
      <c r="L441" s="10"/>
      <c r="M441" s="10"/>
      <c r="N441" s="10"/>
    </row>
    <row r="442" ht="13.5" customHeight="1">
      <c r="J442" s="10"/>
      <c r="K442" s="10"/>
      <c r="L442" s="10"/>
      <c r="M442" s="10"/>
      <c r="N442" s="10"/>
    </row>
    <row r="443" ht="13.5" customHeight="1">
      <c r="J443" s="10"/>
      <c r="K443" s="10"/>
      <c r="L443" s="10"/>
      <c r="M443" s="10"/>
      <c r="N443" s="10"/>
    </row>
    <row r="444" ht="13.5" customHeight="1">
      <c r="J444" s="10"/>
      <c r="K444" s="10"/>
      <c r="L444" s="10"/>
      <c r="M444" s="10"/>
      <c r="N444" s="10"/>
    </row>
    <row r="445" ht="13.5" customHeight="1">
      <c r="J445" s="10"/>
      <c r="K445" s="10"/>
      <c r="L445" s="10"/>
      <c r="M445" s="10"/>
      <c r="N445" s="10"/>
    </row>
    <row r="446" ht="13.5" customHeight="1">
      <c r="J446" s="10"/>
      <c r="K446" s="10"/>
      <c r="L446" s="10"/>
      <c r="M446" s="10"/>
      <c r="N446" s="10"/>
    </row>
    <row r="447" ht="13.5" customHeight="1">
      <c r="J447" s="10"/>
      <c r="K447" s="10"/>
      <c r="L447" s="10"/>
      <c r="M447" s="10"/>
      <c r="N447" s="10"/>
    </row>
    <row r="448" ht="13.5" customHeight="1">
      <c r="J448" s="10"/>
      <c r="K448" s="10"/>
      <c r="L448" s="10"/>
      <c r="M448" s="10"/>
      <c r="N448" s="10"/>
    </row>
    <row r="449" ht="13.5" customHeight="1">
      <c r="J449" s="10"/>
      <c r="K449" s="10"/>
      <c r="L449" s="10"/>
      <c r="M449" s="10"/>
      <c r="N449" s="10"/>
    </row>
    <row r="450" ht="13.5" customHeight="1">
      <c r="J450" s="10"/>
      <c r="K450" s="10"/>
      <c r="L450" s="10"/>
      <c r="M450" s="10"/>
      <c r="N450" s="10"/>
    </row>
    <row r="451" ht="13.5" customHeight="1">
      <c r="J451" s="10"/>
      <c r="K451" s="10"/>
      <c r="L451" s="10"/>
      <c r="M451" s="10"/>
      <c r="N451" s="10"/>
    </row>
    <row r="452" ht="13.5" customHeight="1">
      <c r="J452" s="10"/>
      <c r="K452" s="10"/>
      <c r="L452" s="10"/>
      <c r="M452" s="10"/>
      <c r="N452" s="10"/>
    </row>
    <row r="453" ht="13.5" customHeight="1">
      <c r="J453" s="10"/>
      <c r="K453" s="10"/>
      <c r="L453" s="10"/>
      <c r="M453" s="10"/>
      <c r="N453" s="10"/>
    </row>
    <row r="454" ht="13.5" customHeight="1">
      <c r="J454" s="10"/>
      <c r="K454" s="10"/>
      <c r="L454" s="10"/>
      <c r="M454" s="10"/>
      <c r="N454" s="10"/>
    </row>
    <row r="455" ht="13.5" customHeight="1">
      <c r="J455" s="10"/>
      <c r="K455" s="10"/>
      <c r="L455" s="10"/>
      <c r="M455" s="10"/>
      <c r="N455" s="10"/>
    </row>
    <row r="456" ht="13.5" customHeight="1">
      <c r="J456" s="10"/>
      <c r="K456" s="10"/>
      <c r="L456" s="10"/>
      <c r="M456" s="10"/>
      <c r="N456" s="10"/>
    </row>
    <row r="457" ht="13.5" customHeight="1">
      <c r="J457" s="10"/>
      <c r="K457" s="10"/>
      <c r="L457" s="10"/>
      <c r="M457" s="10"/>
      <c r="N457" s="10"/>
    </row>
    <row r="458" ht="13.5" customHeight="1">
      <c r="J458" s="10"/>
      <c r="K458" s="10"/>
      <c r="L458" s="10"/>
      <c r="M458" s="10"/>
      <c r="N458" s="10"/>
    </row>
    <row r="459" ht="13.5" customHeight="1">
      <c r="J459" s="10"/>
      <c r="K459" s="10"/>
      <c r="L459" s="10"/>
      <c r="M459" s="10"/>
      <c r="N459" s="10"/>
    </row>
    <row r="460" ht="13.5" customHeight="1">
      <c r="J460" s="10"/>
      <c r="K460" s="10"/>
      <c r="L460" s="10"/>
      <c r="M460" s="10"/>
      <c r="N460" s="10"/>
    </row>
    <row r="461" ht="13.5" customHeight="1">
      <c r="J461" s="10"/>
      <c r="K461" s="10"/>
      <c r="L461" s="10"/>
      <c r="M461" s="10"/>
      <c r="N461" s="10"/>
    </row>
    <row r="462" ht="13.5" customHeight="1">
      <c r="J462" s="10"/>
      <c r="K462" s="10"/>
      <c r="L462" s="10"/>
      <c r="M462" s="10"/>
      <c r="N462" s="10"/>
    </row>
    <row r="463" ht="13.5" customHeight="1">
      <c r="J463" s="10"/>
      <c r="K463" s="10"/>
      <c r="L463" s="10"/>
      <c r="M463" s="10"/>
      <c r="N463" s="10"/>
    </row>
    <row r="464" ht="13.5" customHeight="1">
      <c r="J464" s="10"/>
      <c r="K464" s="10"/>
      <c r="L464" s="10"/>
      <c r="M464" s="10"/>
      <c r="N464" s="10"/>
    </row>
    <row r="465" ht="13.5" customHeight="1">
      <c r="J465" s="10"/>
      <c r="K465" s="10"/>
      <c r="L465" s="10"/>
      <c r="M465" s="10"/>
      <c r="N465" s="10"/>
    </row>
    <row r="466" ht="13.5" customHeight="1">
      <c r="J466" s="10"/>
      <c r="K466" s="10"/>
      <c r="L466" s="10"/>
      <c r="M466" s="10"/>
      <c r="N466" s="10"/>
    </row>
    <row r="467" ht="13.5" customHeight="1">
      <c r="J467" s="10"/>
      <c r="K467" s="10"/>
      <c r="L467" s="10"/>
      <c r="M467" s="10"/>
      <c r="N467" s="10"/>
    </row>
    <row r="468" ht="13.5" customHeight="1">
      <c r="J468" s="10"/>
      <c r="K468" s="10"/>
      <c r="L468" s="10"/>
      <c r="M468" s="10"/>
      <c r="N468" s="10"/>
    </row>
    <row r="469" ht="13.5" customHeight="1">
      <c r="J469" s="10"/>
      <c r="K469" s="10"/>
      <c r="L469" s="10"/>
      <c r="M469" s="10"/>
      <c r="N469" s="10"/>
    </row>
    <row r="470" ht="13.5" customHeight="1">
      <c r="J470" s="10"/>
      <c r="K470" s="10"/>
      <c r="L470" s="10"/>
      <c r="M470" s="10"/>
      <c r="N470" s="10"/>
    </row>
    <row r="471" ht="13.5" customHeight="1">
      <c r="J471" s="10"/>
      <c r="K471" s="10"/>
      <c r="L471" s="10"/>
      <c r="M471" s="10"/>
      <c r="N471" s="10"/>
    </row>
    <row r="472" ht="13.5" customHeight="1">
      <c r="J472" s="10"/>
      <c r="K472" s="10"/>
      <c r="L472" s="10"/>
      <c r="M472" s="10"/>
      <c r="N472" s="10"/>
    </row>
    <row r="473" ht="13.5" customHeight="1">
      <c r="J473" s="10"/>
      <c r="K473" s="10"/>
      <c r="L473" s="10"/>
      <c r="M473" s="10"/>
      <c r="N473" s="10"/>
    </row>
    <row r="474" ht="13.5" customHeight="1">
      <c r="J474" s="10"/>
      <c r="K474" s="10"/>
      <c r="L474" s="10"/>
      <c r="M474" s="10"/>
      <c r="N474" s="10"/>
    </row>
    <row r="475" ht="13.5" customHeight="1">
      <c r="J475" s="10"/>
      <c r="K475" s="10"/>
      <c r="L475" s="10"/>
      <c r="M475" s="10"/>
      <c r="N475" s="10"/>
    </row>
    <row r="476" ht="13.5" customHeight="1">
      <c r="J476" s="10"/>
      <c r="K476" s="10"/>
      <c r="L476" s="10"/>
      <c r="M476" s="10"/>
      <c r="N476" s="10"/>
    </row>
    <row r="477" ht="13.5" customHeight="1">
      <c r="J477" s="10"/>
      <c r="K477" s="10"/>
      <c r="L477" s="10"/>
      <c r="M477" s="10"/>
      <c r="N477" s="10"/>
    </row>
    <row r="478" ht="13.5" customHeight="1">
      <c r="J478" s="10"/>
      <c r="K478" s="10"/>
      <c r="L478" s="10"/>
      <c r="M478" s="10"/>
      <c r="N478" s="10"/>
    </row>
    <row r="479" ht="13.5" customHeight="1">
      <c r="J479" s="10"/>
      <c r="K479" s="10"/>
      <c r="L479" s="10"/>
      <c r="M479" s="10"/>
      <c r="N479" s="10"/>
    </row>
    <row r="480" ht="13.5" customHeight="1">
      <c r="J480" s="10"/>
      <c r="K480" s="10"/>
      <c r="L480" s="10"/>
      <c r="M480" s="10"/>
      <c r="N480" s="10"/>
    </row>
    <row r="481" ht="13.5" customHeight="1">
      <c r="J481" s="10"/>
      <c r="K481" s="10"/>
      <c r="L481" s="10"/>
      <c r="M481" s="10"/>
      <c r="N481" s="10"/>
    </row>
    <row r="482" ht="13.5" customHeight="1">
      <c r="J482" s="10"/>
      <c r="K482" s="10"/>
      <c r="L482" s="10"/>
      <c r="M482" s="10"/>
      <c r="N482" s="10"/>
    </row>
    <row r="483" ht="13.5" customHeight="1">
      <c r="J483" s="10"/>
      <c r="K483" s="10"/>
      <c r="L483" s="10"/>
      <c r="M483" s="10"/>
      <c r="N483" s="10"/>
    </row>
    <row r="484" ht="13.5" customHeight="1">
      <c r="J484" s="10"/>
      <c r="K484" s="10"/>
      <c r="L484" s="10"/>
      <c r="M484" s="10"/>
      <c r="N484" s="10"/>
    </row>
    <row r="485" ht="13.5" customHeight="1">
      <c r="J485" s="10"/>
      <c r="K485" s="10"/>
      <c r="L485" s="10"/>
      <c r="M485" s="10"/>
      <c r="N485" s="10"/>
    </row>
    <row r="486" ht="13.5" customHeight="1">
      <c r="J486" s="10"/>
      <c r="K486" s="10"/>
      <c r="L486" s="10"/>
      <c r="M486" s="10"/>
      <c r="N486" s="10"/>
    </row>
    <row r="487" ht="13.5" customHeight="1">
      <c r="J487" s="10"/>
      <c r="K487" s="10"/>
      <c r="L487" s="10"/>
      <c r="M487" s="10"/>
      <c r="N487" s="10"/>
    </row>
    <row r="488" ht="13.5" customHeight="1">
      <c r="J488" s="10"/>
      <c r="K488" s="10"/>
      <c r="L488" s="10"/>
      <c r="M488" s="10"/>
      <c r="N488" s="10"/>
    </row>
    <row r="489" ht="13.5" customHeight="1">
      <c r="J489" s="10"/>
      <c r="K489" s="10"/>
      <c r="L489" s="10"/>
      <c r="M489" s="10"/>
      <c r="N489" s="10"/>
    </row>
    <row r="490" ht="13.5" customHeight="1">
      <c r="J490" s="10"/>
      <c r="K490" s="10"/>
      <c r="L490" s="10"/>
      <c r="M490" s="10"/>
      <c r="N490" s="10"/>
    </row>
    <row r="491" ht="13.5" customHeight="1">
      <c r="J491" s="10"/>
      <c r="K491" s="10"/>
      <c r="L491" s="10"/>
      <c r="M491" s="10"/>
      <c r="N491" s="10"/>
    </row>
    <row r="492" ht="13.5" customHeight="1">
      <c r="J492" s="10"/>
      <c r="K492" s="10"/>
      <c r="L492" s="10"/>
      <c r="M492" s="10"/>
      <c r="N492" s="10"/>
    </row>
    <row r="493" ht="13.5" customHeight="1">
      <c r="J493" s="10"/>
      <c r="K493" s="10"/>
      <c r="L493" s="10"/>
      <c r="M493" s="10"/>
      <c r="N493" s="10"/>
    </row>
    <row r="494" ht="13.5" customHeight="1">
      <c r="J494" s="10"/>
      <c r="K494" s="10"/>
      <c r="L494" s="10"/>
      <c r="M494" s="10"/>
      <c r="N494" s="10"/>
    </row>
    <row r="495" ht="13.5" customHeight="1">
      <c r="J495" s="10"/>
      <c r="K495" s="10"/>
      <c r="L495" s="10"/>
      <c r="M495" s="10"/>
      <c r="N495" s="10"/>
    </row>
    <row r="496" ht="13.5" customHeight="1">
      <c r="J496" s="10"/>
      <c r="K496" s="10"/>
      <c r="L496" s="10"/>
      <c r="M496" s="10"/>
      <c r="N496" s="10"/>
    </row>
    <row r="497" ht="13.5" customHeight="1">
      <c r="J497" s="10"/>
      <c r="K497" s="10"/>
      <c r="L497" s="10"/>
      <c r="M497" s="10"/>
      <c r="N497" s="10"/>
    </row>
    <row r="498" ht="13.5" customHeight="1">
      <c r="J498" s="10"/>
      <c r="K498" s="10"/>
      <c r="L498" s="10"/>
      <c r="M498" s="10"/>
      <c r="N498" s="10"/>
    </row>
    <row r="499" ht="13.5" customHeight="1">
      <c r="J499" s="10"/>
      <c r="K499" s="10"/>
      <c r="L499" s="10"/>
      <c r="M499" s="10"/>
      <c r="N499" s="10"/>
    </row>
    <row r="500" ht="13.5" customHeight="1">
      <c r="J500" s="10"/>
      <c r="K500" s="10"/>
      <c r="L500" s="10"/>
      <c r="M500" s="10"/>
      <c r="N500" s="10"/>
    </row>
    <row r="501" ht="13.5" customHeight="1">
      <c r="J501" s="10"/>
      <c r="K501" s="10"/>
      <c r="L501" s="10"/>
      <c r="M501" s="10"/>
      <c r="N501" s="10"/>
    </row>
    <row r="502" ht="13.5" customHeight="1">
      <c r="J502" s="10"/>
      <c r="K502" s="10"/>
      <c r="L502" s="10"/>
      <c r="M502" s="10"/>
      <c r="N502" s="10"/>
    </row>
    <row r="503" ht="13.5" customHeight="1">
      <c r="J503" s="10"/>
      <c r="K503" s="10"/>
      <c r="L503" s="10"/>
      <c r="M503" s="10"/>
      <c r="N503" s="10"/>
    </row>
    <row r="504" ht="13.5" customHeight="1">
      <c r="J504" s="10"/>
      <c r="K504" s="10"/>
      <c r="L504" s="10"/>
      <c r="M504" s="10"/>
      <c r="N504" s="10"/>
    </row>
    <row r="505" ht="13.5" customHeight="1">
      <c r="J505" s="10"/>
      <c r="K505" s="10"/>
      <c r="L505" s="10"/>
      <c r="M505" s="10"/>
      <c r="N505" s="10"/>
    </row>
    <row r="506" ht="13.5" customHeight="1">
      <c r="J506" s="10"/>
      <c r="K506" s="10"/>
      <c r="L506" s="10"/>
      <c r="M506" s="10"/>
      <c r="N506" s="10"/>
    </row>
    <row r="507" ht="13.5" customHeight="1">
      <c r="J507" s="10"/>
      <c r="K507" s="10"/>
      <c r="L507" s="10"/>
      <c r="M507" s="10"/>
      <c r="N507" s="10"/>
    </row>
    <row r="508" ht="13.5" customHeight="1">
      <c r="J508" s="10"/>
      <c r="K508" s="10"/>
      <c r="L508" s="10"/>
      <c r="M508" s="10"/>
      <c r="N508" s="10"/>
    </row>
    <row r="509" ht="13.5" customHeight="1">
      <c r="J509" s="10"/>
      <c r="K509" s="10"/>
      <c r="L509" s="10"/>
      <c r="M509" s="10"/>
      <c r="N509" s="10"/>
    </row>
    <row r="510" ht="13.5" customHeight="1">
      <c r="J510" s="10"/>
      <c r="K510" s="10"/>
      <c r="L510" s="10"/>
      <c r="M510" s="10"/>
      <c r="N510" s="10"/>
    </row>
    <row r="511" ht="13.5" customHeight="1">
      <c r="J511" s="10"/>
      <c r="K511" s="10"/>
      <c r="L511" s="10"/>
      <c r="M511" s="10"/>
      <c r="N511" s="10"/>
    </row>
    <row r="512" ht="13.5" customHeight="1">
      <c r="J512" s="10"/>
      <c r="K512" s="10"/>
      <c r="L512" s="10"/>
      <c r="M512" s="10"/>
      <c r="N512" s="10"/>
    </row>
    <row r="513" ht="13.5" customHeight="1">
      <c r="J513" s="10"/>
      <c r="K513" s="10"/>
      <c r="L513" s="10"/>
      <c r="M513" s="10"/>
      <c r="N513" s="10"/>
    </row>
    <row r="514" ht="13.5" customHeight="1">
      <c r="J514" s="10"/>
      <c r="K514" s="10"/>
      <c r="L514" s="10"/>
      <c r="M514" s="10"/>
      <c r="N514" s="10"/>
    </row>
    <row r="515" ht="13.5" customHeight="1">
      <c r="J515" s="10"/>
      <c r="K515" s="10"/>
      <c r="L515" s="10"/>
      <c r="M515" s="10"/>
      <c r="N515" s="10"/>
    </row>
    <row r="516" ht="13.5" customHeight="1">
      <c r="J516" s="10"/>
      <c r="K516" s="10"/>
      <c r="L516" s="10"/>
      <c r="M516" s="10"/>
      <c r="N516" s="10"/>
    </row>
    <row r="517" ht="13.5" customHeight="1">
      <c r="J517" s="10"/>
      <c r="K517" s="10"/>
      <c r="L517" s="10"/>
      <c r="M517" s="10"/>
      <c r="N517" s="10"/>
    </row>
    <row r="518" ht="13.5" customHeight="1">
      <c r="J518" s="10"/>
      <c r="K518" s="10"/>
      <c r="L518" s="10"/>
      <c r="M518" s="10"/>
      <c r="N518" s="10"/>
    </row>
    <row r="519" ht="13.5" customHeight="1">
      <c r="J519" s="10"/>
      <c r="K519" s="10"/>
      <c r="L519" s="10"/>
      <c r="M519" s="10"/>
      <c r="N519" s="10"/>
    </row>
    <row r="520" ht="13.5" customHeight="1">
      <c r="J520" s="10"/>
      <c r="K520" s="10"/>
      <c r="L520" s="10"/>
      <c r="M520" s="10"/>
      <c r="N520" s="10"/>
    </row>
    <row r="521" ht="13.5" customHeight="1">
      <c r="J521" s="10"/>
      <c r="K521" s="10"/>
      <c r="L521" s="10"/>
      <c r="M521" s="10"/>
      <c r="N521" s="10"/>
    </row>
    <row r="522" ht="13.5" customHeight="1">
      <c r="J522" s="10"/>
      <c r="K522" s="10"/>
      <c r="L522" s="10"/>
      <c r="M522" s="10"/>
      <c r="N522" s="10"/>
    </row>
    <row r="523" ht="13.5" customHeight="1">
      <c r="J523" s="10"/>
      <c r="K523" s="10"/>
      <c r="L523" s="10"/>
      <c r="M523" s="10"/>
      <c r="N523" s="10"/>
    </row>
    <row r="524" ht="13.5" customHeight="1">
      <c r="J524" s="10"/>
      <c r="K524" s="10"/>
      <c r="L524" s="10"/>
      <c r="M524" s="10"/>
      <c r="N524" s="10"/>
    </row>
    <row r="525" ht="13.5" customHeight="1">
      <c r="J525" s="10"/>
      <c r="K525" s="10"/>
      <c r="L525" s="10"/>
      <c r="M525" s="10"/>
      <c r="N525" s="10"/>
    </row>
    <row r="526" ht="13.5" customHeight="1">
      <c r="J526" s="10"/>
      <c r="K526" s="10"/>
      <c r="L526" s="10"/>
      <c r="M526" s="10"/>
      <c r="N526" s="10"/>
    </row>
    <row r="527" ht="13.5" customHeight="1">
      <c r="J527" s="10"/>
      <c r="K527" s="10"/>
      <c r="L527" s="10"/>
      <c r="M527" s="10"/>
      <c r="N527" s="10"/>
    </row>
    <row r="528" ht="13.5" customHeight="1">
      <c r="J528" s="10"/>
      <c r="K528" s="10"/>
      <c r="L528" s="10"/>
      <c r="M528" s="10"/>
      <c r="N528" s="10"/>
    </row>
    <row r="529" ht="13.5" customHeight="1">
      <c r="J529" s="10"/>
      <c r="K529" s="10"/>
      <c r="L529" s="10"/>
      <c r="M529" s="10"/>
      <c r="N529" s="10"/>
    </row>
    <row r="530" ht="13.5" customHeight="1">
      <c r="J530" s="10"/>
      <c r="K530" s="10"/>
      <c r="L530" s="10"/>
      <c r="M530" s="10"/>
      <c r="N530" s="10"/>
    </row>
    <row r="531" ht="13.5" customHeight="1">
      <c r="J531" s="10"/>
      <c r="K531" s="10"/>
      <c r="L531" s="10"/>
      <c r="M531" s="10"/>
      <c r="N531" s="10"/>
    </row>
    <row r="532" ht="13.5" customHeight="1">
      <c r="J532" s="10"/>
      <c r="K532" s="10"/>
      <c r="L532" s="10"/>
      <c r="M532" s="10"/>
      <c r="N532" s="10"/>
    </row>
    <row r="533" ht="13.5" customHeight="1">
      <c r="J533" s="10"/>
      <c r="K533" s="10"/>
      <c r="L533" s="10"/>
      <c r="M533" s="10"/>
      <c r="N533" s="10"/>
    </row>
    <row r="534" ht="13.5" customHeight="1">
      <c r="J534" s="10"/>
      <c r="K534" s="10"/>
      <c r="L534" s="10"/>
      <c r="M534" s="10"/>
      <c r="N534" s="10"/>
    </row>
    <row r="535" ht="13.5" customHeight="1">
      <c r="J535" s="10"/>
      <c r="K535" s="10"/>
      <c r="L535" s="10"/>
      <c r="M535" s="10"/>
      <c r="N535" s="10"/>
    </row>
    <row r="536" ht="13.5" customHeight="1">
      <c r="J536" s="10"/>
      <c r="K536" s="10"/>
      <c r="L536" s="10"/>
      <c r="M536" s="10"/>
      <c r="N536" s="10"/>
    </row>
    <row r="537" ht="13.5" customHeight="1">
      <c r="J537" s="10"/>
      <c r="K537" s="10"/>
      <c r="L537" s="10"/>
      <c r="M537" s="10"/>
      <c r="N537" s="10"/>
    </row>
    <row r="538" ht="13.5" customHeight="1">
      <c r="J538" s="10"/>
      <c r="K538" s="10"/>
      <c r="L538" s="10"/>
      <c r="M538" s="10"/>
      <c r="N538" s="10"/>
    </row>
    <row r="539" ht="13.5" customHeight="1">
      <c r="J539" s="10"/>
      <c r="K539" s="10"/>
      <c r="L539" s="10"/>
      <c r="M539" s="10"/>
      <c r="N539" s="10"/>
    </row>
    <row r="540" ht="13.5" customHeight="1">
      <c r="J540" s="10"/>
      <c r="K540" s="10"/>
      <c r="L540" s="10"/>
      <c r="M540" s="10"/>
      <c r="N540" s="10"/>
    </row>
    <row r="541" ht="13.5" customHeight="1">
      <c r="J541" s="10"/>
      <c r="K541" s="10"/>
      <c r="L541" s="10"/>
      <c r="M541" s="10"/>
      <c r="N541" s="10"/>
    </row>
    <row r="542" ht="13.5" customHeight="1">
      <c r="J542" s="10"/>
      <c r="K542" s="10"/>
      <c r="L542" s="10"/>
      <c r="M542" s="10"/>
      <c r="N542" s="10"/>
    </row>
    <row r="543" ht="13.5" customHeight="1">
      <c r="J543" s="10"/>
      <c r="K543" s="10"/>
      <c r="L543" s="10"/>
      <c r="M543" s="10"/>
      <c r="N543" s="10"/>
    </row>
    <row r="544" ht="13.5" customHeight="1">
      <c r="J544" s="10"/>
      <c r="K544" s="10"/>
      <c r="L544" s="10"/>
      <c r="M544" s="10"/>
      <c r="N544" s="10"/>
    </row>
    <row r="545" ht="13.5" customHeight="1">
      <c r="J545" s="10"/>
      <c r="K545" s="10"/>
      <c r="L545" s="10"/>
      <c r="M545" s="10"/>
      <c r="N545" s="10"/>
    </row>
    <row r="546" ht="13.5" customHeight="1">
      <c r="J546" s="10"/>
      <c r="K546" s="10"/>
      <c r="L546" s="10"/>
      <c r="M546" s="10"/>
      <c r="N546" s="10"/>
    </row>
    <row r="547" ht="13.5" customHeight="1">
      <c r="J547" s="10"/>
      <c r="K547" s="10"/>
      <c r="L547" s="10"/>
      <c r="M547" s="10"/>
      <c r="N547" s="10"/>
    </row>
    <row r="548" ht="13.5" customHeight="1">
      <c r="J548" s="10"/>
      <c r="K548" s="10"/>
      <c r="L548" s="10"/>
      <c r="M548" s="10"/>
      <c r="N548" s="10"/>
    </row>
    <row r="549" ht="13.5" customHeight="1">
      <c r="J549" s="10"/>
      <c r="K549" s="10"/>
      <c r="L549" s="10"/>
      <c r="M549" s="10"/>
      <c r="N549" s="10"/>
    </row>
    <row r="550" ht="13.5" customHeight="1">
      <c r="J550" s="10"/>
      <c r="K550" s="10"/>
      <c r="L550" s="10"/>
      <c r="M550" s="10"/>
      <c r="N550" s="10"/>
    </row>
    <row r="551" ht="13.5" customHeight="1">
      <c r="J551" s="10"/>
      <c r="K551" s="10"/>
      <c r="L551" s="10"/>
      <c r="M551" s="10"/>
      <c r="N551" s="10"/>
    </row>
    <row r="552" ht="13.5" customHeight="1">
      <c r="J552" s="10"/>
      <c r="K552" s="10"/>
      <c r="L552" s="10"/>
      <c r="M552" s="10"/>
      <c r="N552" s="10"/>
    </row>
    <row r="553" ht="13.5" customHeight="1">
      <c r="J553" s="10"/>
      <c r="K553" s="10"/>
      <c r="L553" s="10"/>
      <c r="M553" s="10"/>
      <c r="N553" s="10"/>
    </row>
    <row r="554" ht="13.5" customHeight="1">
      <c r="J554" s="10"/>
      <c r="K554" s="10"/>
      <c r="L554" s="10"/>
      <c r="M554" s="10"/>
      <c r="N554" s="10"/>
    </row>
    <row r="555" ht="13.5" customHeight="1">
      <c r="J555" s="10"/>
      <c r="K555" s="10"/>
      <c r="L555" s="10"/>
      <c r="M555" s="10"/>
      <c r="N555" s="10"/>
    </row>
    <row r="556" ht="13.5" customHeight="1">
      <c r="J556" s="10"/>
      <c r="K556" s="10"/>
      <c r="L556" s="10"/>
      <c r="M556" s="10"/>
      <c r="N556" s="10"/>
    </row>
    <row r="557" ht="13.5" customHeight="1">
      <c r="J557" s="10"/>
      <c r="K557" s="10"/>
      <c r="L557" s="10"/>
      <c r="M557" s="10"/>
      <c r="N557" s="10"/>
    </row>
    <row r="558" ht="13.5" customHeight="1">
      <c r="J558" s="10"/>
      <c r="K558" s="10"/>
      <c r="L558" s="10"/>
      <c r="M558" s="10"/>
      <c r="N558" s="10"/>
    </row>
    <row r="559" ht="13.5" customHeight="1">
      <c r="J559" s="10"/>
      <c r="K559" s="10"/>
      <c r="L559" s="10"/>
      <c r="M559" s="10"/>
      <c r="N559" s="10"/>
    </row>
    <row r="560" ht="13.5" customHeight="1">
      <c r="J560" s="10"/>
      <c r="K560" s="10"/>
      <c r="L560" s="10"/>
      <c r="M560" s="10"/>
      <c r="N560" s="10"/>
    </row>
    <row r="561" ht="13.5" customHeight="1">
      <c r="J561" s="10"/>
      <c r="K561" s="10"/>
      <c r="L561" s="10"/>
      <c r="M561" s="10"/>
      <c r="N561" s="10"/>
    </row>
    <row r="562" ht="13.5" customHeight="1">
      <c r="J562" s="10"/>
      <c r="K562" s="10"/>
      <c r="L562" s="10"/>
      <c r="M562" s="10"/>
      <c r="N562" s="10"/>
    </row>
    <row r="563" ht="13.5" customHeight="1">
      <c r="J563" s="10"/>
      <c r="K563" s="10"/>
      <c r="L563" s="10"/>
      <c r="M563" s="10"/>
      <c r="N563" s="10"/>
    </row>
    <row r="564" ht="13.5" customHeight="1">
      <c r="J564" s="10"/>
      <c r="K564" s="10"/>
      <c r="L564" s="10"/>
      <c r="M564" s="10"/>
      <c r="N564" s="10"/>
    </row>
    <row r="565" ht="13.5" customHeight="1">
      <c r="J565" s="10"/>
      <c r="K565" s="10"/>
      <c r="L565" s="10"/>
      <c r="M565" s="10"/>
      <c r="N565" s="10"/>
    </row>
    <row r="566" ht="13.5" customHeight="1">
      <c r="J566" s="10"/>
      <c r="K566" s="10"/>
      <c r="L566" s="10"/>
      <c r="M566" s="10"/>
      <c r="N566" s="10"/>
    </row>
    <row r="567" ht="13.5" customHeight="1">
      <c r="J567" s="10"/>
      <c r="K567" s="10"/>
      <c r="L567" s="10"/>
      <c r="M567" s="10"/>
      <c r="N567" s="10"/>
    </row>
    <row r="568" ht="13.5" customHeight="1">
      <c r="J568" s="10"/>
      <c r="K568" s="10"/>
      <c r="L568" s="10"/>
      <c r="M568" s="10"/>
      <c r="N568" s="10"/>
    </row>
    <row r="569" ht="13.5" customHeight="1">
      <c r="J569" s="10"/>
      <c r="K569" s="10"/>
      <c r="L569" s="10"/>
      <c r="M569" s="10"/>
      <c r="N569" s="10"/>
    </row>
    <row r="570" ht="13.5" customHeight="1">
      <c r="J570" s="10"/>
      <c r="K570" s="10"/>
      <c r="L570" s="10"/>
      <c r="M570" s="10"/>
      <c r="N570" s="10"/>
    </row>
    <row r="571" ht="13.5" customHeight="1">
      <c r="J571" s="10"/>
      <c r="K571" s="10"/>
      <c r="L571" s="10"/>
      <c r="M571" s="10"/>
      <c r="N571" s="10"/>
    </row>
    <row r="572" ht="13.5" customHeight="1">
      <c r="J572" s="10"/>
      <c r="K572" s="10"/>
      <c r="L572" s="10"/>
      <c r="M572" s="10"/>
      <c r="N572" s="10"/>
    </row>
    <row r="573" ht="13.5" customHeight="1">
      <c r="J573" s="10"/>
      <c r="K573" s="10"/>
      <c r="L573" s="10"/>
      <c r="M573" s="10"/>
      <c r="N573" s="10"/>
    </row>
    <row r="574" ht="13.5" customHeight="1">
      <c r="J574" s="10"/>
      <c r="K574" s="10"/>
      <c r="L574" s="10"/>
      <c r="M574" s="10"/>
      <c r="N574" s="10"/>
    </row>
    <row r="575" ht="13.5" customHeight="1">
      <c r="J575" s="10"/>
      <c r="K575" s="10"/>
      <c r="L575" s="10"/>
      <c r="M575" s="10"/>
      <c r="N575" s="10"/>
    </row>
    <row r="576" ht="13.5" customHeight="1">
      <c r="J576" s="10"/>
      <c r="K576" s="10"/>
      <c r="L576" s="10"/>
      <c r="M576" s="10"/>
      <c r="N576" s="10"/>
    </row>
    <row r="577" ht="13.5" customHeight="1">
      <c r="J577" s="10"/>
      <c r="K577" s="10"/>
      <c r="L577" s="10"/>
      <c r="M577" s="10"/>
      <c r="N577" s="10"/>
    </row>
    <row r="578" ht="13.5" customHeight="1">
      <c r="J578" s="10"/>
      <c r="K578" s="10"/>
      <c r="L578" s="10"/>
      <c r="M578" s="10"/>
      <c r="N578" s="10"/>
    </row>
    <row r="579" ht="13.5" customHeight="1">
      <c r="J579" s="10"/>
      <c r="K579" s="10"/>
      <c r="L579" s="10"/>
      <c r="M579" s="10"/>
      <c r="N579" s="10"/>
    </row>
    <row r="580" ht="13.5" customHeight="1">
      <c r="J580" s="10"/>
      <c r="K580" s="10"/>
      <c r="L580" s="10"/>
      <c r="M580" s="10"/>
      <c r="N580" s="10"/>
    </row>
    <row r="581" ht="13.5" customHeight="1">
      <c r="J581" s="10"/>
      <c r="K581" s="10"/>
      <c r="L581" s="10"/>
      <c r="M581" s="10"/>
      <c r="N581" s="10"/>
    </row>
    <row r="582" ht="13.5" customHeight="1">
      <c r="J582" s="10"/>
      <c r="K582" s="10"/>
      <c r="L582" s="10"/>
      <c r="M582" s="10"/>
      <c r="N582" s="10"/>
    </row>
    <row r="583" ht="13.5" customHeight="1">
      <c r="J583" s="10"/>
      <c r="K583" s="10"/>
      <c r="L583" s="10"/>
      <c r="M583" s="10"/>
      <c r="N583" s="10"/>
    </row>
    <row r="584" ht="13.5" customHeight="1">
      <c r="J584" s="10"/>
      <c r="K584" s="10"/>
      <c r="L584" s="10"/>
      <c r="M584" s="10"/>
      <c r="N584" s="10"/>
    </row>
    <row r="585" ht="13.5" customHeight="1">
      <c r="J585" s="10"/>
      <c r="K585" s="10"/>
      <c r="L585" s="10"/>
      <c r="M585" s="10"/>
      <c r="N585" s="10"/>
    </row>
    <row r="586" ht="13.5" customHeight="1">
      <c r="J586" s="10"/>
      <c r="K586" s="10"/>
      <c r="L586" s="10"/>
      <c r="M586" s="10"/>
      <c r="N586" s="10"/>
    </row>
    <row r="587" ht="13.5" customHeight="1">
      <c r="J587" s="10"/>
      <c r="K587" s="10"/>
      <c r="L587" s="10"/>
      <c r="M587" s="10"/>
      <c r="N587" s="10"/>
    </row>
    <row r="588" ht="13.5" customHeight="1">
      <c r="J588" s="10"/>
      <c r="K588" s="10"/>
      <c r="L588" s="10"/>
      <c r="M588" s="10"/>
      <c r="N588" s="10"/>
    </row>
    <row r="589" ht="13.5" customHeight="1">
      <c r="J589" s="10"/>
      <c r="K589" s="10"/>
      <c r="L589" s="10"/>
      <c r="M589" s="10"/>
      <c r="N589" s="10"/>
    </row>
    <row r="590" ht="13.5" customHeight="1">
      <c r="J590" s="10"/>
      <c r="K590" s="10"/>
      <c r="L590" s="10"/>
      <c r="M590" s="10"/>
      <c r="N590" s="10"/>
    </row>
    <row r="591" ht="13.5" customHeight="1">
      <c r="J591" s="10"/>
      <c r="K591" s="10"/>
      <c r="L591" s="10"/>
      <c r="M591" s="10"/>
      <c r="N591" s="10"/>
    </row>
    <row r="592" ht="13.5" customHeight="1">
      <c r="J592" s="10"/>
      <c r="K592" s="10"/>
      <c r="L592" s="10"/>
      <c r="M592" s="10"/>
      <c r="N592" s="10"/>
    </row>
    <row r="593" ht="13.5" customHeight="1">
      <c r="J593" s="10"/>
      <c r="K593" s="10"/>
      <c r="L593" s="10"/>
      <c r="M593" s="10"/>
      <c r="N593" s="10"/>
    </row>
    <row r="594" ht="13.5" customHeight="1">
      <c r="J594" s="10"/>
      <c r="K594" s="10"/>
      <c r="L594" s="10"/>
      <c r="M594" s="10"/>
      <c r="N594" s="10"/>
    </row>
    <row r="595" ht="13.5" customHeight="1">
      <c r="J595" s="10"/>
      <c r="K595" s="10"/>
      <c r="L595" s="10"/>
      <c r="M595" s="10"/>
      <c r="N595" s="10"/>
    </row>
    <row r="596" ht="13.5" customHeight="1">
      <c r="J596" s="10"/>
      <c r="K596" s="10"/>
      <c r="L596" s="10"/>
      <c r="M596" s="10"/>
      <c r="N596" s="10"/>
    </row>
    <row r="597" ht="13.5" customHeight="1">
      <c r="J597" s="10"/>
      <c r="K597" s="10"/>
      <c r="L597" s="10"/>
      <c r="M597" s="10"/>
      <c r="N597" s="10"/>
    </row>
    <row r="598" ht="13.5" customHeight="1">
      <c r="J598" s="10"/>
      <c r="K598" s="10"/>
      <c r="L598" s="10"/>
      <c r="M598" s="10"/>
      <c r="N598" s="10"/>
    </row>
    <row r="599" ht="13.5" customHeight="1">
      <c r="J599" s="10"/>
      <c r="K599" s="10"/>
      <c r="L599" s="10"/>
      <c r="M599" s="10"/>
      <c r="N599" s="10"/>
    </row>
    <row r="600" ht="13.5" customHeight="1">
      <c r="J600" s="10"/>
      <c r="K600" s="10"/>
      <c r="L600" s="10"/>
      <c r="M600" s="10"/>
      <c r="N600" s="10"/>
    </row>
    <row r="601" ht="13.5" customHeight="1">
      <c r="J601" s="10"/>
      <c r="K601" s="10"/>
      <c r="L601" s="10"/>
      <c r="M601" s="10"/>
      <c r="N601" s="10"/>
    </row>
    <row r="602" ht="13.5" customHeight="1">
      <c r="J602" s="10"/>
      <c r="K602" s="10"/>
      <c r="L602" s="10"/>
      <c r="M602" s="10"/>
      <c r="N602" s="10"/>
    </row>
    <row r="603" ht="13.5" customHeight="1">
      <c r="J603" s="10"/>
      <c r="K603" s="10"/>
      <c r="L603" s="10"/>
      <c r="M603" s="10"/>
      <c r="N603" s="10"/>
    </row>
    <row r="604" ht="13.5" customHeight="1">
      <c r="J604" s="10"/>
      <c r="K604" s="10"/>
      <c r="L604" s="10"/>
      <c r="M604" s="10"/>
      <c r="N604" s="10"/>
    </row>
    <row r="605" ht="13.5" customHeight="1">
      <c r="J605" s="10"/>
      <c r="K605" s="10"/>
      <c r="L605" s="10"/>
      <c r="M605" s="10"/>
      <c r="N605" s="10"/>
    </row>
    <row r="606" ht="13.5" customHeight="1">
      <c r="J606" s="10"/>
      <c r="K606" s="10"/>
      <c r="L606" s="10"/>
      <c r="M606" s="10"/>
      <c r="N606" s="10"/>
    </row>
    <row r="607" ht="13.5" customHeight="1">
      <c r="J607" s="10"/>
      <c r="K607" s="10"/>
      <c r="L607" s="10"/>
      <c r="M607" s="10"/>
      <c r="N607" s="10"/>
    </row>
    <row r="608" ht="13.5" customHeight="1">
      <c r="J608" s="10"/>
      <c r="K608" s="10"/>
      <c r="L608" s="10"/>
      <c r="M608" s="10"/>
      <c r="N608" s="10"/>
    </row>
    <row r="609" ht="13.5" customHeight="1">
      <c r="J609" s="10"/>
      <c r="K609" s="10"/>
      <c r="L609" s="10"/>
      <c r="M609" s="10"/>
      <c r="N609" s="10"/>
    </row>
    <row r="610" ht="13.5" customHeight="1">
      <c r="J610" s="10"/>
      <c r="K610" s="10"/>
      <c r="L610" s="10"/>
      <c r="M610" s="10"/>
      <c r="N610" s="10"/>
    </row>
    <row r="611" ht="13.5" customHeight="1">
      <c r="J611" s="10"/>
      <c r="K611" s="10"/>
      <c r="L611" s="10"/>
      <c r="M611" s="10"/>
      <c r="N611" s="10"/>
    </row>
    <row r="612" ht="13.5" customHeight="1">
      <c r="J612" s="10"/>
      <c r="K612" s="10"/>
      <c r="L612" s="10"/>
      <c r="M612" s="10"/>
      <c r="N612" s="10"/>
    </row>
    <row r="613" ht="13.5" customHeight="1">
      <c r="J613" s="10"/>
      <c r="K613" s="10"/>
      <c r="L613" s="10"/>
      <c r="M613" s="10"/>
      <c r="N613" s="10"/>
    </row>
    <row r="614" ht="13.5" customHeight="1">
      <c r="J614" s="10"/>
      <c r="K614" s="10"/>
      <c r="L614" s="10"/>
      <c r="M614" s="10"/>
      <c r="N614" s="10"/>
    </row>
    <row r="615" ht="13.5" customHeight="1">
      <c r="J615" s="10"/>
      <c r="K615" s="10"/>
      <c r="L615" s="10"/>
      <c r="M615" s="10"/>
      <c r="N615" s="10"/>
    </row>
    <row r="616" ht="13.5" customHeight="1">
      <c r="J616" s="10"/>
      <c r="K616" s="10"/>
      <c r="L616" s="10"/>
      <c r="M616" s="10"/>
      <c r="N616" s="10"/>
    </row>
    <row r="617" ht="13.5" customHeight="1">
      <c r="J617" s="10"/>
      <c r="K617" s="10"/>
      <c r="L617" s="10"/>
      <c r="M617" s="10"/>
      <c r="N617" s="10"/>
    </row>
    <row r="618" ht="13.5" customHeight="1">
      <c r="J618" s="10"/>
      <c r="K618" s="10"/>
      <c r="L618" s="10"/>
      <c r="M618" s="10"/>
      <c r="N618" s="10"/>
    </row>
    <row r="619" ht="13.5" customHeight="1">
      <c r="J619" s="10"/>
      <c r="K619" s="10"/>
      <c r="L619" s="10"/>
      <c r="M619" s="10"/>
      <c r="N619" s="10"/>
    </row>
    <row r="620" ht="13.5" customHeight="1">
      <c r="J620" s="10"/>
      <c r="K620" s="10"/>
      <c r="L620" s="10"/>
      <c r="M620" s="10"/>
      <c r="N620" s="10"/>
    </row>
    <row r="621" ht="13.5" customHeight="1">
      <c r="J621" s="10"/>
      <c r="K621" s="10"/>
      <c r="L621" s="10"/>
      <c r="M621" s="10"/>
      <c r="N621" s="10"/>
    </row>
    <row r="622" ht="13.5" customHeight="1">
      <c r="J622" s="10"/>
      <c r="K622" s="10"/>
      <c r="L622" s="10"/>
      <c r="M622" s="10"/>
      <c r="N622" s="10"/>
    </row>
    <row r="623" ht="13.5" customHeight="1">
      <c r="J623" s="10"/>
      <c r="K623" s="10"/>
      <c r="L623" s="10"/>
      <c r="M623" s="10"/>
      <c r="N623" s="10"/>
    </row>
    <row r="624" ht="13.5" customHeight="1">
      <c r="J624" s="10"/>
      <c r="K624" s="10"/>
      <c r="L624" s="10"/>
      <c r="M624" s="10"/>
      <c r="N624" s="10"/>
    </row>
    <row r="625" ht="13.5" customHeight="1">
      <c r="J625" s="10"/>
      <c r="K625" s="10"/>
      <c r="L625" s="10"/>
      <c r="M625" s="10"/>
      <c r="N625" s="10"/>
    </row>
    <row r="626" ht="13.5" customHeight="1">
      <c r="J626" s="10"/>
      <c r="K626" s="10"/>
      <c r="L626" s="10"/>
      <c r="M626" s="10"/>
      <c r="N626" s="10"/>
    </row>
    <row r="627" ht="13.5" customHeight="1">
      <c r="J627" s="10"/>
      <c r="K627" s="10"/>
      <c r="L627" s="10"/>
      <c r="M627" s="10"/>
      <c r="N627" s="10"/>
    </row>
    <row r="628" ht="13.5" customHeight="1">
      <c r="J628" s="10"/>
      <c r="K628" s="10"/>
      <c r="L628" s="10"/>
      <c r="M628" s="10"/>
      <c r="N628" s="10"/>
    </row>
    <row r="629" ht="13.5" customHeight="1">
      <c r="J629" s="10"/>
      <c r="K629" s="10"/>
      <c r="L629" s="10"/>
      <c r="M629" s="10"/>
      <c r="N629" s="10"/>
    </row>
    <row r="630" ht="13.5" customHeight="1">
      <c r="J630" s="10"/>
      <c r="K630" s="10"/>
      <c r="L630" s="10"/>
      <c r="M630" s="10"/>
      <c r="N630" s="10"/>
    </row>
    <row r="631" ht="13.5" customHeight="1">
      <c r="J631" s="10"/>
      <c r="K631" s="10"/>
      <c r="L631" s="10"/>
      <c r="M631" s="10"/>
      <c r="N631" s="10"/>
    </row>
    <row r="632" ht="13.5" customHeight="1">
      <c r="J632" s="10"/>
      <c r="K632" s="10"/>
      <c r="L632" s="10"/>
      <c r="M632" s="10"/>
      <c r="N632" s="10"/>
    </row>
    <row r="633" ht="13.5" customHeight="1">
      <c r="J633" s="10"/>
      <c r="K633" s="10"/>
      <c r="L633" s="10"/>
      <c r="M633" s="10"/>
      <c r="N633" s="10"/>
    </row>
    <row r="634" ht="13.5" customHeight="1">
      <c r="J634" s="10"/>
      <c r="K634" s="10"/>
      <c r="L634" s="10"/>
      <c r="M634" s="10"/>
      <c r="N634" s="10"/>
    </row>
    <row r="635" ht="13.5" customHeight="1">
      <c r="J635" s="10"/>
      <c r="K635" s="10"/>
      <c r="L635" s="10"/>
      <c r="M635" s="10"/>
      <c r="N635" s="10"/>
    </row>
    <row r="636" ht="13.5" customHeight="1">
      <c r="J636" s="10"/>
      <c r="K636" s="10"/>
      <c r="L636" s="10"/>
      <c r="M636" s="10"/>
      <c r="N636" s="10"/>
    </row>
    <row r="637" ht="13.5" customHeight="1">
      <c r="J637" s="10"/>
      <c r="K637" s="10"/>
      <c r="L637" s="10"/>
      <c r="M637" s="10"/>
      <c r="N637" s="10"/>
    </row>
    <row r="638" ht="13.5" customHeight="1">
      <c r="J638" s="10"/>
      <c r="K638" s="10"/>
      <c r="L638" s="10"/>
      <c r="M638" s="10"/>
      <c r="N638" s="10"/>
    </row>
    <row r="639" ht="13.5" customHeight="1">
      <c r="J639" s="10"/>
      <c r="K639" s="10"/>
      <c r="L639" s="10"/>
      <c r="M639" s="10"/>
      <c r="N639" s="10"/>
    </row>
    <row r="640" ht="13.5" customHeight="1">
      <c r="J640" s="10"/>
      <c r="K640" s="10"/>
      <c r="L640" s="10"/>
      <c r="M640" s="10"/>
      <c r="N640" s="10"/>
    </row>
    <row r="641" ht="13.5" customHeight="1">
      <c r="J641" s="10"/>
      <c r="K641" s="10"/>
      <c r="L641" s="10"/>
      <c r="M641" s="10"/>
      <c r="N641" s="10"/>
    </row>
    <row r="642" ht="13.5" customHeight="1">
      <c r="J642" s="10"/>
      <c r="K642" s="10"/>
      <c r="L642" s="10"/>
      <c r="M642" s="10"/>
      <c r="N642" s="10"/>
    </row>
    <row r="643" ht="13.5" customHeight="1">
      <c r="J643" s="10"/>
      <c r="K643" s="10"/>
      <c r="L643" s="10"/>
      <c r="M643" s="10"/>
      <c r="N643" s="10"/>
    </row>
    <row r="644" ht="13.5" customHeight="1">
      <c r="J644" s="10"/>
      <c r="K644" s="10"/>
      <c r="L644" s="10"/>
      <c r="M644" s="10"/>
      <c r="N644" s="10"/>
    </row>
    <row r="645" ht="13.5" customHeight="1">
      <c r="J645" s="10"/>
      <c r="K645" s="10"/>
      <c r="L645" s="10"/>
      <c r="M645" s="10"/>
      <c r="N645" s="10"/>
    </row>
    <row r="646" ht="13.5" customHeight="1">
      <c r="J646" s="10"/>
      <c r="K646" s="10"/>
      <c r="L646" s="10"/>
      <c r="M646" s="10"/>
      <c r="N646" s="10"/>
    </row>
    <row r="647" ht="13.5" customHeight="1">
      <c r="J647" s="10"/>
      <c r="K647" s="10"/>
      <c r="L647" s="10"/>
      <c r="M647" s="10"/>
      <c r="N647" s="10"/>
    </row>
    <row r="648" ht="13.5" customHeight="1">
      <c r="J648" s="10"/>
      <c r="K648" s="10"/>
      <c r="L648" s="10"/>
      <c r="M648" s="10"/>
      <c r="N648" s="10"/>
    </row>
    <row r="649" ht="13.5" customHeight="1">
      <c r="J649" s="10"/>
      <c r="K649" s="10"/>
      <c r="L649" s="10"/>
      <c r="M649" s="10"/>
      <c r="N649" s="10"/>
    </row>
    <row r="650" ht="13.5" customHeight="1">
      <c r="J650" s="10"/>
      <c r="K650" s="10"/>
      <c r="L650" s="10"/>
      <c r="M650" s="10"/>
      <c r="N650" s="10"/>
    </row>
    <row r="651" ht="13.5" customHeight="1">
      <c r="J651" s="10"/>
      <c r="K651" s="10"/>
      <c r="L651" s="10"/>
      <c r="M651" s="10"/>
      <c r="N651" s="10"/>
    </row>
    <row r="652" ht="13.5" customHeight="1">
      <c r="J652" s="10"/>
      <c r="K652" s="10"/>
      <c r="L652" s="10"/>
      <c r="M652" s="10"/>
      <c r="N652" s="10"/>
    </row>
    <row r="653" ht="13.5" customHeight="1">
      <c r="J653" s="10"/>
      <c r="K653" s="10"/>
      <c r="L653" s="10"/>
      <c r="M653" s="10"/>
      <c r="N653" s="10"/>
    </row>
    <row r="654" ht="13.5" customHeight="1">
      <c r="J654" s="10"/>
      <c r="K654" s="10"/>
      <c r="L654" s="10"/>
      <c r="M654" s="10"/>
      <c r="N654" s="10"/>
    </row>
    <row r="655" ht="13.5" customHeight="1">
      <c r="J655" s="10"/>
      <c r="K655" s="10"/>
      <c r="L655" s="10"/>
      <c r="M655" s="10"/>
      <c r="N655" s="10"/>
    </row>
    <row r="656" ht="13.5" customHeight="1">
      <c r="J656" s="10"/>
      <c r="K656" s="10"/>
      <c r="L656" s="10"/>
      <c r="M656" s="10"/>
      <c r="N656" s="10"/>
    </row>
    <row r="657" ht="13.5" customHeight="1">
      <c r="J657" s="10"/>
      <c r="K657" s="10"/>
      <c r="L657" s="10"/>
      <c r="M657" s="10"/>
      <c r="N657" s="10"/>
    </row>
    <row r="658" ht="13.5" customHeight="1">
      <c r="J658" s="10"/>
      <c r="K658" s="10"/>
      <c r="L658" s="10"/>
      <c r="M658" s="10"/>
      <c r="N658" s="10"/>
    </row>
    <row r="659" ht="13.5" customHeight="1">
      <c r="J659" s="10"/>
      <c r="K659" s="10"/>
      <c r="L659" s="10"/>
      <c r="M659" s="10"/>
      <c r="N659" s="10"/>
    </row>
    <row r="660" ht="13.5" customHeight="1">
      <c r="J660" s="10"/>
      <c r="K660" s="10"/>
      <c r="L660" s="10"/>
      <c r="M660" s="10"/>
      <c r="N660" s="10"/>
    </row>
    <row r="661" ht="13.5" customHeight="1">
      <c r="J661" s="10"/>
      <c r="K661" s="10"/>
      <c r="L661" s="10"/>
      <c r="M661" s="10"/>
      <c r="N661" s="10"/>
    </row>
    <row r="662" ht="13.5" customHeight="1">
      <c r="J662" s="10"/>
      <c r="K662" s="10"/>
      <c r="L662" s="10"/>
      <c r="M662" s="10"/>
      <c r="N662" s="10"/>
    </row>
    <row r="663" ht="13.5" customHeight="1">
      <c r="J663" s="10"/>
      <c r="K663" s="10"/>
      <c r="L663" s="10"/>
      <c r="M663" s="10"/>
      <c r="N663" s="10"/>
    </row>
    <row r="664" ht="13.5" customHeight="1">
      <c r="J664" s="10"/>
      <c r="K664" s="10"/>
      <c r="L664" s="10"/>
      <c r="M664" s="10"/>
      <c r="N664" s="10"/>
    </row>
    <row r="665" ht="13.5" customHeight="1">
      <c r="J665" s="10"/>
      <c r="K665" s="10"/>
      <c r="L665" s="10"/>
      <c r="M665" s="10"/>
      <c r="N665" s="10"/>
    </row>
    <row r="666" ht="13.5" customHeight="1">
      <c r="J666" s="10"/>
      <c r="K666" s="10"/>
      <c r="L666" s="10"/>
      <c r="M666" s="10"/>
      <c r="N666" s="10"/>
    </row>
    <row r="667" ht="13.5" customHeight="1">
      <c r="J667" s="10"/>
      <c r="K667" s="10"/>
      <c r="L667" s="10"/>
      <c r="M667" s="10"/>
      <c r="N667" s="10"/>
    </row>
    <row r="668" ht="13.5" customHeight="1">
      <c r="J668" s="10"/>
      <c r="K668" s="10"/>
      <c r="L668" s="10"/>
      <c r="M668" s="10"/>
      <c r="N668" s="10"/>
    </row>
    <row r="669" ht="13.5" customHeight="1">
      <c r="J669" s="10"/>
      <c r="K669" s="10"/>
      <c r="L669" s="10"/>
      <c r="M669" s="10"/>
      <c r="N669" s="10"/>
    </row>
    <row r="670" ht="13.5" customHeight="1">
      <c r="J670" s="10"/>
      <c r="K670" s="10"/>
      <c r="L670" s="10"/>
      <c r="M670" s="10"/>
      <c r="N670" s="10"/>
    </row>
    <row r="671" ht="13.5" customHeight="1">
      <c r="J671" s="10"/>
      <c r="K671" s="10"/>
      <c r="L671" s="10"/>
      <c r="M671" s="10"/>
      <c r="N671" s="10"/>
    </row>
    <row r="672" ht="13.5" customHeight="1">
      <c r="J672" s="10"/>
      <c r="K672" s="10"/>
      <c r="L672" s="10"/>
      <c r="M672" s="10"/>
      <c r="N672" s="10"/>
    </row>
    <row r="673" ht="13.5" customHeight="1">
      <c r="J673" s="10"/>
      <c r="K673" s="10"/>
      <c r="L673" s="10"/>
      <c r="M673" s="10"/>
      <c r="N673" s="10"/>
    </row>
    <row r="674" ht="13.5" customHeight="1">
      <c r="J674" s="10"/>
      <c r="K674" s="10"/>
      <c r="L674" s="10"/>
      <c r="M674" s="10"/>
      <c r="N674" s="10"/>
    </row>
    <row r="675" ht="13.5" customHeight="1">
      <c r="J675" s="10"/>
      <c r="K675" s="10"/>
      <c r="L675" s="10"/>
      <c r="M675" s="10"/>
      <c r="N675" s="10"/>
    </row>
    <row r="676" ht="13.5" customHeight="1">
      <c r="J676" s="10"/>
      <c r="K676" s="10"/>
      <c r="L676" s="10"/>
      <c r="M676" s="10"/>
      <c r="N676" s="10"/>
    </row>
    <row r="677" ht="13.5" customHeight="1">
      <c r="J677" s="10"/>
      <c r="K677" s="10"/>
      <c r="L677" s="10"/>
      <c r="M677" s="10"/>
      <c r="N677" s="10"/>
    </row>
    <row r="678" ht="13.5" customHeight="1">
      <c r="J678" s="10"/>
      <c r="K678" s="10"/>
      <c r="L678" s="10"/>
      <c r="M678" s="10"/>
      <c r="N678" s="10"/>
    </row>
    <row r="679" ht="13.5" customHeight="1">
      <c r="J679" s="10"/>
      <c r="K679" s="10"/>
      <c r="L679" s="10"/>
      <c r="M679" s="10"/>
      <c r="N679" s="10"/>
    </row>
    <row r="680" ht="13.5" customHeight="1">
      <c r="J680" s="10"/>
      <c r="K680" s="10"/>
      <c r="L680" s="10"/>
      <c r="M680" s="10"/>
      <c r="N680" s="10"/>
    </row>
    <row r="681" ht="13.5" customHeight="1">
      <c r="J681" s="10"/>
      <c r="K681" s="10"/>
      <c r="L681" s="10"/>
      <c r="M681" s="10"/>
      <c r="N681" s="10"/>
    </row>
    <row r="682" ht="13.5" customHeight="1">
      <c r="J682" s="10"/>
      <c r="K682" s="10"/>
      <c r="L682" s="10"/>
      <c r="M682" s="10"/>
      <c r="N682" s="10"/>
    </row>
    <row r="683" ht="13.5" customHeight="1">
      <c r="J683" s="10"/>
      <c r="K683" s="10"/>
      <c r="L683" s="10"/>
      <c r="M683" s="10"/>
      <c r="N683" s="10"/>
    </row>
    <row r="684" ht="13.5" customHeight="1">
      <c r="J684" s="10"/>
      <c r="K684" s="10"/>
      <c r="L684" s="10"/>
      <c r="M684" s="10"/>
      <c r="N684" s="10"/>
    </row>
    <row r="685" ht="13.5" customHeight="1">
      <c r="J685" s="10"/>
      <c r="K685" s="10"/>
      <c r="L685" s="10"/>
      <c r="M685" s="10"/>
      <c r="N685" s="10"/>
    </row>
    <row r="686" ht="13.5" customHeight="1">
      <c r="J686" s="10"/>
      <c r="K686" s="10"/>
      <c r="L686" s="10"/>
      <c r="M686" s="10"/>
      <c r="N686" s="10"/>
    </row>
    <row r="687" ht="13.5" customHeight="1">
      <c r="J687" s="10"/>
      <c r="K687" s="10"/>
      <c r="L687" s="10"/>
      <c r="M687" s="10"/>
      <c r="N687" s="10"/>
    </row>
    <row r="688" ht="13.5" customHeight="1">
      <c r="J688" s="10"/>
      <c r="K688" s="10"/>
      <c r="L688" s="10"/>
      <c r="M688" s="10"/>
      <c r="N688" s="10"/>
    </row>
    <row r="689" ht="13.5" customHeight="1">
      <c r="J689" s="10"/>
      <c r="K689" s="10"/>
      <c r="L689" s="10"/>
      <c r="M689" s="10"/>
      <c r="N689" s="10"/>
    </row>
    <row r="690" ht="13.5" customHeight="1">
      <c r="J690" s="10"/>
      <c r="K690" s="10"/>
      <c r="L690" s="10"/>
      <c r="M690" s="10"/>
      <c r="N690" s="10"/>
    </row>
    <row r="691" ht="13.5" customHeight="1">
      <c r="J691" s="10"/>
      <c r="K691" s="10"/>
      <c r="L691" s="10"/>
      <c r="M691" s="10"/>
      <c r="N691" s="10"/>
    </row>
    <row r="692" ht="13.5" customHeight="1">
      <c r="J692" s="10"/>
      <c r="K692" s="10"/>
      <c r="L692" s="10"/>
      <c r="M692" s="10"/>
      <c r="N692" s="10"/>
    </row>
    <row r="693" ht="13.5" customHeight="1">
      <c r="J693" s="10"/>
      <c r="K693" s="10"/>
      <c r="L693" s="10"/>
      <c r="M693" s="10"/>
      <c r="N693" s="10"/>
    </row>
    <row r="694" ht="13.5" customHeight="1">
      <c r="J694" s="10"/>
      <c r="K694" s="10"/>
      <c r="L694" s="10"/>
      <c r="M694" s="10"/>
      <c r="N694" s="10"/>
    </row>
    <row r="695" ht="13.5" customHeight="1">
      <c r="J695" s="10"/>
      <c r="K695" s="10"/>
      <c r="L695" s="10"/>
      <c r="M695" s="10"/>
      <c r="N695" s="10"/>
    </row>
    <row r="696" ht="13.5" customHeight="1">
      <c r="J696" s="10"/>
      <c r="K696" s="10"/>
      <c r="L696" s="10"/>
      <c r="M696" s="10"/>
      <c r="N696" s="10"/>
    </row>
    <row r="697" ht="13.5" customHeight="1">
      <c r="J697" s="10"/>
      <c r="K697" s="10"/>
      <c r="L697" s="10"/>
      <c r="M697" s="10"/>
      <c r="N697" s="10"/>
    </row>
    <row r="698" ht="13.5" customHeight="1">
      <c r="J698" s="10"/>
      <c r="K698" s="10"/>
      <c r="L698" s="10"/>
      <c r="M698" s="10"/>
      <c r="N698" s="10"/>
    </row>
    <row r="699" ht="13.5" customHeight="1">
      <c r="J699" s="10"/>
      <c r="K699" s="10"/>
      <c r="L699" s="10"/>
      <c r="M699" s="10"/>
      <c r="N699" s="10"/>
    </row>
    <row r="700" ht="13.5" customHeight="1">
      <c r="J700" s="10"/>
      <c r="K700" s="10"/>
      <c r="L700" s="10"/>
      <c r="M700" s="10"/>
      <c r="N700" s="10"/>
    </row>
    <row r="701" ht="13.5" customHeight="1">
      <c r="J701" s="10"/>
      <c r="K701" s="10"/>
      <c r="L701" s="10"/>
      <c r="M701" s="10"/>
      <c r="N701" s="10"/>
    </row>
    <row r="702" ht="13.5" customHeight="1">
      <c r="J702" s="10"/>
      <c r="K702" s="10"/>
      <c r="L702" s="10"/>
      <c r="M702" s="10"/>
      <c r="N702" s="10"/>
    </row>
    <row r="703" ht="13.5" customHeight="1">
      <c r="J703" s="10"/>
      <c r="K703" s="10"/>
      <c r="L703" s="10"/>
      <c r="M703" s="10"/>
      <c r="N703" s="10"/>
    </row>
    <row r="704" ht="13.5" customHeight="1">
      <c r="J704" s="10"/>
      <c r="K704" s="10"/>
      <c r="L704" s="10"/>
      <c r="M704" s="10"/>
      <c r="N704" s="10"/>
    </row>
    <row r="705" ht="13.5" customHeight="1">
      <c r="J705" s="10"/>
      <c r="K705" s="10"/>
      <c r="L705" s="10"/>
      <c r="M705" s="10"/>
      <c r="N705" s="10"/>
    </row>
    <row r="706" ht="13.5" customHeight="1">
      <c r="J706" s="10"/>
      <c r="K706" s="10"/>
      <c r="L706" s="10"/>
      <c r="M706" s="10"/>
      <c r="N706" s="10"/>
    </row>
    <row r="707" ht="13.5" customHeight="1">
      <c r="J707" s="10"/>
      <c r="K707" s="10"/>
      <c r="L707" s="10"/>
      <c r="M707" s="10"/>
      <c r="N707" s="10"/>
    </row>
    <row r="708" ht="13.5" customHeight="1">
      <c r="J708" s="10"/>
      <c r="K708" s="10"/>
      <c r="L708" s="10"/>
      <c r="M708" s="10"/>
      <c r="N708" s="10"/>
    </row>
    <row r="709" ht="13.5" customHeight="1">
      <c r="J709" s="10"/>
      <c r="K709" s="10"/>
      <c r="L709" s="10"/>
      <c r="M709" s="10"/>
      <c r="N709" s="10"/>
    </row>
    <row r="710" ht="13.5" customHeight="1">
      <c r="J710" s="10"/>
      <c r="K710" s="10"/>
      <c r="L710" s="10"/>
      <c r="M710" s="10"/>
      <c r="N710" s="10"/>
    </row>
    <row r="711" ht="13.5" customHeight="1">
      <c r="J711" s="10"/>
      <c r="K711" s="10"/>
      <c r="L711" s="10"/>
      <c r="M711" s="10"/>
      <c r="N711" s="10"/>
    </row>
    <row r="712" ht="13.5" customHeight="1">
      <c r="J712" s="10"/>
      <c r="K712" s="10"/>
      <c r="L712" s="10"/>
      <c r="M712" s="10"/>
      <c r="N712" s="10"/>
    </row>
    <row r="713" ht="13.5" customHeight="1">
      <c r="J713" s="10"/>
      <c r="K713" s="10"/>
      <c r="L713" s="10"/>
      <c r="M713" s="10"/>
      <c r="N713" s="10"/>
    </row>
    <row r="714" ht="13.5" customHeight="1">
      <c r="J714" s="10"/>
      <c r="K714" s="10"/>
      <c r="L714" s="10"/>
      <c r="M714" s="10"/>
      <c r="N714" s="10"/>
    </row>
    <row r="715" ht="13.5" customHeight="1">
      <c r="J715" s="10"/>
      <c r="K715" s="10"/>
      <c r="L715" s="10"/>
      <c r="M715" s="10"/>
      <c r="N715" s="10"/>
    </row>
    <row r="716" ht="13.5" customHeight="1">
      <c r="J716" s="10"/>
      <c r="K716" s="10"/>
      <c r="L716" s="10"/>
      <c r="M716" s="10"/>
      <c r="N716" s="10"/>
    </row>
    <row r="717" ht="13.5" customHeight="1">
      <c r="J717" s="10"/>
      <c r="K717" s="10"/>
      <c r="L717" s="10"/>
      <c r="M717" s="10"/>
      <c r="N717" s="10"/>
    </row>
    <row r="718" ht="13.5" customHeight="1">
      <c r="J718" s="10"/>
      <c r="K718" s="10"/>
      <c r="L718" s="10"/>
      <c r="M718" s="10"/>
      <c r="N718" s="10"/>
    </row>
    <row r="719" ht="13.5" customHeight="1">
      <c r="J719" s="10"/>
      <c r="K719" s="10"/>
      <c r="L719" s="10"/>
      <c r="M719" s="10"/>
      <c r="N719" s="10"/>
    </row>
    <row r="720" ht="13.5" customHeight="1">
      <c r="J720" s="10"/>
      <c r="K720" s="10"/>
      <c r="L720" s="10"/>
      <c r="M720" s="10"/>
      <c r="N720" s="10"/>
    </row>
    <row r="721" ht="13.5" customHeight="1">
      <c r="J721" s="10"/>
      <c r="K721" s="10"/>
      <c r="L721" s="10"/>
      <c r="M721" s="10"/>
      <c r="N721" s="10"/>
    </row>
    <row r="722" ht="13.5" customHeight="1">
      <c r="J722" s="10"/>
      <c r="K722" s="10"/>
      <c r="L722" s="10"/>
      <c r="M722" s="10"/>
      <c r="N722" s="10"/>
    </row>
    <row r="723" ht="13.5" customHeight="1">
      <c r="J723" s="10"/>
      <c r="K723" s="10"/>
      <c r="L723" s="10"/>
      <c r="M723" s="10"/>
      <c r="N723" s="10"/>
    </row>
    <row r="724" ht="13.5" customHeight="1">
      <c r="J724" s="10"/>
      <c r="K724" s="10"/>
      <c r="L724" s="10"/>
      <c r="M724" s="10"/>
      <c r="N724" s="10"/>
    </row>
    <row r="725" ht="13.5" customHeight="1">
      <c r="J725" s="10"/>
      <c r="K725" s="10"/>
      <c r="L725" s="10"/>
      <c r="M725" s="10"/>
      <c r="N725" s="10"/>
    </row>
    <row r="726" ht="13.5" customHeight="1">
      <c r="J726" s="10"/>
      <c r="K726" s="10"/>
      <c r="L726" s="10"/>
      <c r="M726" s="10"/>
      <c r="N726" s="10"/>
    </row>
    <row r="727" ht="13.5" customHeight="1">
      <c r="J727" s="10"/>
      <c r="K727" s="10"/>
      <c r="L727" s="10"/>
      <c r="M727" s="10"/>
      <c r="N727" s="10"/>
    </row>
    <row r="728" ht="13.5" customHeight="1">
      <c r="J728" s="10"/>
      <c r="K728" s="10"/>
      <c r="L728" s="10"/>
      <c r="M728" s="10"/>
      <c r="N728" s="10"/>
    </row>
    <row r="729" ht="13.5" customHeight="1">
      <c r="J729" s="10"/>
      <c r="K729" s="10"/>
      <c r="L729" s="10"/>
      <c r="M729" s="10"/>
      <c r="N729" s="10"/>
    </row>
    <row r="730" ht="13.5" customHeight="1">
      <c r="J730" s="10"/>
      <c r="K730" s="10"/>
      <c r="L730" s="10"/>
      <c r="M730" s="10"/>
      <c r="N730" s="10"/>
    </row>
    <row r="731" ht="13.5" customHeight="1">
      <c r="J731" s="10"/>
      <c r="K731" s="10"/>
      <c r="L731" s="10"/>
      <c r="M731" s="10"/>
      <c r="N731" s="10"/>
    </row>
    <row r="732" ht="13.5" customHeight="1">
      <c r="J732" s="10"/>
      <c r="K732" s="10"/>
      <c r="L732" s="10"/>
      <c r="M732" s="10"/>
      <c r="N732" s="10"/>
    </row>
    <row r="733" ht="13.5" customHeight="1">
      <c r="J733" s="10"/>
      <c r="K733" s="10"/>
      <c r="L733" s="10"/>
      <c r="M733" s="10"/>
      <c r="N733" s="10"/>
    </row>
    <row r="734" ht="13.5" customHeight="1">
      <c r="J734" s="10"/>
      <c r="K734" s="10"/>
      <c r="L734" s="10"/>
      <c r="M734" s="10"/>
      <c r="N734" s="10"/>
    </row>
    <row r="735" ht="13.5" customHeight="1">
      <c r="J735" s="10"/>
      <c r="K735" s="10"/>
      <c r="L735" s="10"/>
      <c r="M735" s="10"/>
      <c r="N735" s="10"/>
    </row>
    <row r="736" ht="13.5" customHeight="1">
      <c r="J736" s="10"/>
      <c r="K736" s="10"/>
      <c r="L736" s="10"/>
      <c r="M736" s="10"/>
      <c r="N736" s="10"/>
    </row>
    <row r="737" ht="13.5" customHeight="1">
      <c r="J737" s="10"/>
      <c r="K737" s="10"/>
      <c r="L737" s="10"/>
      <c r="M737" s="10"/>
      <c r="N737" s="10"/>
    </row>
    <row r="738" ht="13.5" customHeight="1">
      <c r="J738" s="10"/>
      <c r="K738" s="10"/>
      <c r="L738" s="10"/>
      <c r="M738" s="10"/>
      <c r="N738" s="10"/>
    </row>
    <row r="739" ht="13.5" customHeight="1">
      <c r="J739" s="10"/>
      <c r="K739" s="10"/>
      <c r="L739" s="10"/>
      <c r="M739" s="10"/>
      <c r="N739" s="10"/>
    </row>
    <row r="740" ht="13.5" customHeight="1">
      <c r="J740" s="10"/>
      <c r="K740" s="10"/>
      <c r="L740" s="10"/>
      <c r="M740" s="10"/>
      <c r="N740" s="10"/>
    </row>
    <row r="741" ht="13.5" customHeight="1">
      <c r="J741" s="10"/>
      <c r="K741" s="10"/>
      <c r="L741" s="10"/>
      <c r="M741" s="10"/>
      <c r="N741" s="10"/>
    </row>
    <row r="742" ht="13.5" customHeight="1">
      <c r="J742" s="10"/>
      <c r="K742" s="10"/>
      <c r="L742" s="10"/>
      <c r="M742" s="10"/>
      <c r="N742" s="10"/>
    </row>
    <row r="743" ht="13.5" customHeight="1">
      <c r="J743" s="10"/>
      <c r="K743" s="10"/>
      <c r="L743" s="10"/>
      <c r="M743" s="10"/>
      <c r="N743" s="10"/>
    </row>
    <row r="744" ht="13.5" customHeight="1">
      <c r="J744" s="10"/>
      <c r="K744" s="10"/>
      <c r="L744" s="10"/>
      <c r="M744" s="10"/>
      <c r="N744" s="10"/>
    </row>
    <row r="745" ht="13.5" customHeight="1">
      <c r="J745" s="10"/>
      <c r="K745" s="10"/>
      <c r="L745" s="10"/>
      <c r="M745" s="10"/>
      <c r="N745" s="10"/>
    </row>
    <row r="746" ht="13.5" customHeight="1">
      <c r="J746" s="10"/>
      <c r="K746" s="10"/>
      <c r="L746" s="10"/>
      <c r="M746" s="10"/>
      <c r="N746" s="10"/>
    </row>
    <row r="747" ht="13.5" customHeight="1">
      <c r="J747" s="10"/>
      <c r="K747" s="10"/>
      <c r="L747" s="10"/>
      <c r="M747" s="10"/>
      <c r="N747" s="10"/>
    </row>
    <row r="748" ht="13.5" customHeight="1">
      <c r="J748" s="10"/>
      <c r="K748" s="10"/>
      <c r="L748" s="10"/>
      <c r="M748" s="10"/>
      <c r="N748" s="10"/>
    </row>
    <row r="749" ht="13.5" customHeight="1">
      <c r="J749" s="10"/>
      <c r="K749" s="10"/>
      <c r="L749" s="10"/>
      <c r="M749" s="10"/>
      <c r="N749" s="10"/>
    </row>
    <row r="750" ht="13.5" customHeight="1">
      <c r="J750" s="10"/>
      <c r="K750" s="10"/>
      <c r="L750" s="10"/>
      <c r="M750" s="10"/>
      <c r="N750" s="10"/>
    </row>
    <row r="751" ht="13.5" customHeight="1">
      <c r="J751" s="10"/>
      <c r="K751" s="10"/>
      <c r="L751" s="10"/>
      <c r="M751" s="10"/>
      <c r="N751" s="10"/>
    </row>
    <row r="752" ht="13.5" customHeight="1">
      <c r="J752" s="10"/>
      <c r="K752" s="10"/>
      <c r="L752" s="10"/>
      <c r="M752" s="10"/>
      <c r="N752" s="10"/>
    </row>
    <row r="753" ht="13.5" customHeight="1">
      <c r="J753" s="10"/>
      <c r="K753" s="10"/>
      <c r="L753" s="10"/>
      <c r="M753" s="10"/>
      <c r="N753" s="10"/>
    </row>
    <row r="754" ht="13.5" customHeight="1">
      <c r="J754" s="10"/>
      <c r="K754" s="10"/>
      <c r="L754" s="10"/>
      <c r="M754" s="10"/>
      <c r="N754" s="10"/>
    </row>
    <row r="755" ht="13.5" customHeight="1">
      <c r="J755" s="10"/>
      <c r="K755" s="10"/>
      <c r="L755" s="10"/>
      <c r="M755" s="10"/>
      <c r="N755" s="10"/>
    </row>
    <row r="756" ht="13.5" customHeight="1">
      <c r="J756" s="10"/>
      <c r="K756" s="10"/>
      <c r="L756" s="10"/>
      <c r="M756" s="10"/>
      <c r="N756" s="10"/>
    </row>
    <row r="757" ht="13.5" customHeight="1">
      <c r="J757" s="10"/>
      <c r="K757" s="10"/>
      <c r="L757" s="10"/>
      <c r="M757" s="10"/>
      <c r="N757" s="10"/>
    </row>
    <row r="758" ht="13.5" customHeight="1">
      <c r="J758" s="10"/>
      <c r="K758" s="10"/>
      <c r="L758" s="10"/>
      <c r="M758" s="10"/>
      <c r="N758" s="10"/>
    </row>
    <row r="759" ht="13.5" customHeight="1">
      <c r="J759" s="10"/>
      <c r="K759" s="10"/>
      <c r="L759" s="10"/>
      <c r="M759" s="10"/>
      <c r="N759" s="10"/>
    </row>
    <row r="760" ht="13.5" customHeight="1">
      <c r="J760" s="10"/>
      <c r="K760" s="10"/>
      <c r="L760" s="10"/>
      <c r="M760" s="10"/>
      <c r="N760" s="10"/>
    </row>
    <row r="761" ht="13.5" customHeight="1">
      <c r="J761" s="10"/>
      <c r="K761" s="10"/>
      <c r="L761" s="10"/>
      <c r="M761" s="10"/>
      <c r="N761" s="10"/>
    </row>
    <row r="762" ht="13.5" customHeight="1">
      <c r="J762" s="10"/>
      <c r="K762" s="10"/>
      <c r="L762" s="10"/>
      <c r="M762" s="10"/>
      <c r="N762" s="10"/>
    </row>
    <row r="763" ht="13.5" customHeight="1">
      <c r="J763" s="10"/>
      <c r="K763" s="10"/>
      <c r="L763" s="10"/>
      <c r="M763" s="10"/>
      <c r="N763" s="10"/>
    </row>
    <row r="764" ht="13.5" customHeight="1">
      <c r="J764" s="10"/>
      <c r="K764" s="10"/>
      <c r="L764" s="10"/>
      <c r="M764" s="10"/>
      <c r="N764" s="10"/>
    </row>
    <row r="765" ht="13.5" customHeight="1">
      <c r="J765" s="10"/>
      <c r="K765" s="10"/>
      <c r="L765" s="10"/>
      <c r="M765" s="10"/>
      <c r="N765" s="10"/>
    </row>
    <row r="766" ht="13.5" customHeight="1">
      <c r="J766" s="10"/>
      <c r="K766" s="10"/>
      <c r="L766" s="10"/>
      <c r="M766" s="10"/>
      <c r="N766" s="10"/>
    </row>
    <row r="767" ht="13.5" customHeight="1">
      <c r="J767" s="10"/>
      <c r="K767" s="10"/>
      <c r="L767" s="10"/>
      <c r="M767" s="10"/>
      <c r="N767" s="10"/>
    </row>
    <row r="768" ht="13.5" customHeight="1">
      <c r="J768" s="10"/>
      <c r="K768" s="10"/>
      <c r="L768" s="10"/>
      <c r="M768" s="10"/>
      <c r="N768" s="10"/>
    </row>
    <row r="769" ht="13.5" customHeight="1">
      <c r="J769" s="10"/>
      <c r="K769" s="10"/>
      <c r="L769" s="10"/>
      <c r="M769" s="10"/>
      <c r="N769" s="10"/>
    </row>
    <row r="770" ht="13.5" customHeight="1">
      <c r="J770" s="10"/>
      <c r="K770" s="10"/>
      <c r="L770" s="10"/>
      <c r="M770" s="10"/>
      <c r="N770" s="10"/>
    </row>
    <row r="771" ht="13.5" customHeight="1">
      <c r="J771" s="10"/>
      <c r="K771" s="10"/>
      <c r="L771" s="10"/>
      <c r="M771" s="10"/>
      <c r="N771" s="10"/>
    </row>
    <row r="772" ht="13.5" customHeight="1">
      <c r="J772" s="10"/>
      <c r="K772" s="10"/>
      <c r="L772" s="10"/>
      <c r="M772" s="10"/>
      <c r="N772" s="10"/>
    </row>
    <row r="773" ht="13.5" customHeight="1">
      <c r="J773" s="10"/>
      <c r="K773" s="10"/>
      <c r="L773" s="10"/>
      <c r="M773" s="10"/>
      <c r="N773" s="10"/>
    </row>
    <row r="774" ht="13.5" customHeight="1">
      <c r="J774" s="10"/>
      <c r="K774" s="10"/>
      <c r="L774" s="10"/>
      <c r="M774" s="10"/>
      <c r="N774" s="10"/>
    </row>
    <row r="775" ht="13.5" customHeight="1">
      <c r="J775" s="10"/>
      <c r="K775" s="10"/>
      <c r="L775" s="10"/>
      <c r="M775" s="10"/>
      <c r="N775" s="10"/>
    </row>
    <row r="776" ht="13.5" customHeight="1">
      <c r="J776" s="10"/>
      <c r="K776" s="10"/>
      <c r="L776" s="10"/>
      <c r="M776" s="10"/>
      <c r="N776" s="10"/>
    </row>
    <row r="777" ht="13.5" customHeight="1">
      <c r="J777" s="10"/>
      <c r="K777" s="10"/>
      <c r="L777" s="10"/>
      <c r="M777" s="10"/>
      <c r="N777" s="10"/>
    </row>
    <row r="778" ht="13.5" customHeight="1">
      <c r="J778" s="10"/>
      <c r="K778" s="10"/>
      <c r="L778" s="10"/>
      <c r="M778" s="10"/>
      <c r="N778" s="10"/>
    </row>
    <row r="779" ht="13.5" customHeight="1">
      <c r="J779" s="10"/>
      <c r="K779" s="10"/>
      <c r="L779" s="10"/>
      <c r="M779" s="10"/>
      <c r="N779" s="10"/>
    </row>
    <row r="780" ht="13.5" customHeight="1">
      <c r="J780" s="10"/>
      <c r="K780" s="10"/>
      <c r="L780" s="10"/>
      <c r="M780" s="10"/>
      <c r="N780" s="10"/>
    </row>
    <row r="781" ht="13.5" customHeight="1">
      <c r="J781" s="10"/>
      <c r="K781" s="10"/>
      <c r="L781" s="10"/>
      <c r="M781" s="10"/>
      <c r="N781" s="10"/>
    </row>
    <row r="782" ht="13.5" customHeight="1">
      <c r="J782" s="10"/>
      <c r="K782" s="10"/>
      <c r="L782" s="10"/>
      <c r="M782" s="10"/>
      <c r="N782" s="10"/>
    </row>
    <row r="783" ht="13.5" customHeight="1">
      <c r="J783" s="10"/>
      <c r="K783" s="10"/>
      <c r="L783" s="10"/>
      <c r="M783" s="10"/>
      <c r="N783" s="10"/>
    </row>
    <row r="784" ht="13.5" customHeight="1">
      <c r="J784" s="10"/>
      <c r="K784" s="10"/>
      <c r="L784" s="10"/>
      <c r="M784" s="10"/>
      <c r="N784" s="10"/>
    </row>
    <row r="785" ht="13.5" customHeight="1">
      <c r="J785" s="10"/>
      <c r="K785" s="10"/>
      <c r="L785" s="10"/>
      <c r="M785" s="10"/>
      <c r="N785" s="10"/>
    </row>
    <row r="786" ht="13.5" customHeight="1">
      <c r="J786" s="10"/>
      <c r="K786" s="10"/>
      <c r="L786" s="10"/>
      <c r="M786" s="10"/>
      <c r="N786" s="10"/>
    </row>
    <row r="787" ht="13.5" customHeight="1">
      <c r="J787" s="10"/>
      <c r="K787" s="10"/>
      <c r="L787" s="10"/>
      <c r="M787" s="10"/>
      <c r="N787" s="10"/>
    </row>
    <row r="788" ht="13.5" customHeight="1">
      <c r="J788" s="10"/>
      <c r="K788" s="10"/>
      <c r="L788" s="10"/>
      <c r="M788" s="10"/>
      <c r="N788" s="10"/>
    </row>
    <row r="789" ht="13.5" customHeight="1">
      <c r="J789" s="10"/>
      <c r="K789" s="10"/>
      <c r="L789" s="10"/>
      <c r="M789" s="10"/>
      <c r="N789" s="10"/>
    </row>
    <row r="790" ht="13.5" customHeight="1">
      <c r="J790" s="10"/>
      <c r="K790" s="10"/>
      <c r="L790" s="10"/>
      <c r="M790" s="10"/>
      <c r="N790" s="10"/>
    </row>
    <row r="791" ht="13.5" customHeight="1">
      <c r="J791" s="10"/>
      <c r="K791" s="10"/>
      <c r="L791" s="10"/>
      <c r="M791" s="10"/>
      <c r="N791" s="10"/>
    </row>
    <row r="792" ht="13.5" customHeight="1">
      <c r="J792" s="10"/>
      <c r="K792" s="10"/>
      <c r="L792" s="10"/>
      <c r="M792" s="10"/>
      <c r="N792" s="10"/>
    </row>
    <row r="793" ht="13.5" customHeight="1">
      <c r="J793" s="10"/>
      <c r="K793" s="10"/>
      <c r="L793" s="10"/>
      <c r="M793" s="10"/>
      <c r="N793" s="10"/>
    </row>
    <row r="794" ht="13.5" customHeight="1">
      <c r="J794" s="10"/>
      <c r="K794" s="10"/>
      <c r="L794" s="10"/>
      <c r="M794" s="10"/>
      <c r="N794" s="10"/>
    </row>
    <row r="795" ht="13.5" customHeight="1">
      <c r="J795" s="10"/>
      <c r="K795" s="10"/>
      <c r="L795" s="10"/>
      <c r="M795" s="10"/>
      <c r="N795" s="10"/>
    </row>
    <row r="796" ht="13.5" customHeight="1">
      <c r="J796" s="10"/>
      <c r="K796" s="10"/>
      <c r="L796" s="10"/>
      <c r="M796" s="10"/>
      <c r="N796" s="10"/>
    </row>
    <row r="797" ht="13.5" customHeight="1">
      <c r="J797" s="10"/>
      <c r="K797" s="10"/>
      <c r="L797" s="10"/>
      <c r="M797" s="10"/>
      <c r="N797" s="10"/>
    </row>
    <row r="798" ht="13.5" customHeight="1">
      <c r="J798" s="10"/>
      <c r="K798" s="10"/>
      <c r="L798" s="10"/>
      <c r="M798" s="10"/>
      <c r="N798" s="10"/>
    </row>
    <row r="799" ht="13.5" customHeight="1">
      <c r="J799" s="10"/>
      <c r="K799" s="10"/>
      <c r="L799" s="10"/>
      <c r="M799" s="10"/>
      <c r="N799" s="10"/>
    </row>
    <row r="800" ht="13.5" customHeight="1">
      <c r="J800" s="10"/>
      <c r="K800" s="10"/>
      <c r="L800" s="10"/>
      <c r="M800" s="10"/>
      <c r="N800" s="10"/>
    </row>
    <row r="801" ht="13.5" customHeight="1">
      <c r="J801" s="10"/>
      <c r="K801" s="10"/>
      <c r="L801" s="10"/>
      <c r="M801" s="10"/>
      <c r="N801" s="10"/>
    </row>
    <row r="802" ht="13.5" customHeight="1">
      <c r="J802" s="10"/>
      <c r="K802" s="10"/>
      <c r="L802" s="10"/>
      <c r="M802" s="10"/>
      <c r="N802" s="10"/>
    </row>
    <row r="803" ht="13.5" customHeight="1">
      <c r="J803" s="10"/>
      <c r="K803" s="10"/>
      <c r="L803" s="10"/>
      <c r="M803" s="10"/>
      <c r="N803" s="10"/>
    </row>
    <row r="804" ht="13.5" customHeight="1">
      <c r="J804" s="10"/>
      <c r="K804" s="10"/>
      <c r="L804" s="10"/>
      <c r="M804" s="10"/>
      <c r="N804" s="10"/>
    </row>
    <row r="805" ht="13.5" customHeight="1">
      <c r="J805" s="10"/>
      <c r="K805" s="10"/>
      <c r="L805" s="10"/>
      <c r="M805" s="10"/>
      <c r="N805" s="10"/>
    </row>
    <row r="806" ht="13.5" customHeight="1">
      <c r="J806" s="10"/>
      <c r="K806" s="10"/>
      <c r="L806" s="10"/>
      <c r="M806" s="10"/>
      <c r="N806" s="10"/>
    </row>
    <row r="807" ht="13.5" customHeight="1">
      <c r="J807" s="10"/>
      <c r="K807" s="10"/>
      <c r="L807" s="10"/>
      <c r="M807" s="10"/>
      <c r="N807" s="10"/>
    </row>
    <row r="808" ht="13.5" customHeight="1">
      <c r="J808" s="10"/>
      <c r="K808" s="10"/>
      <c r="L808" s="10"/>
      <c r="M808" s="10"/>
      <c r="N808" s="10"/>
    </row>
    <row r="809" ht="13.5" customHeight="1">
      <c r="J809" s="10"/>
      <c r="K809" s="10"/>
      <c r="L809" s="10"/>
      <c r="M809" s="10"/>
      <c r="N809" s="10"/>
    </row>
    <row r="810" ht="13.5" customHeight="1">
      <c r="J810" s="10"/>
      <c r="K810" s="10"/>
      <c r="L810" s="10"/>
      <c r="M810" s="10"/>
      <c r="N810" s="10"/>
    </row>
    <row r="811" ht="13.5" customHeight="1">
      <c r="J811" s="10"/>
      <c r="K811" s="10"/>
      <c r="L811" s="10"/>
      <c r="M811" s="10"/>
      <c r="N811" s="10"/>
    </row>
    <row r="812" ht="13.5" customHeight="1">
      <c r="J812" s="10"/>
      <c r="K812" s="10"/>
      <c r="L812" s="10"/>
      <c r="M812" s="10"/>
      <c r="N812" s="10"/>
    </row>
    <row r="813" ht="13.5" customHeight="1">
      <c r="J813" s="10"/>
      <c r="K813" s="10"/>
      <c r="L813" s="10"/>
      <c r="M813" s="10"/>
      <c r="N813" s="10"/>
    </row>
    <row r="814" ht="13.5" customHeight="1">
      <c r="J814" s="10"/>
      <c r="K814" s="10"/>
      <c r="L814" s="10"/>
      <c r="M814" s="10"/>
      <c r="N814" s="10"/>
    </row>
    <row r="815" ht="13.5" customHeight="1">
      <c r="J815" s="10"/>
      <c r="K815" s="10"/>
      <c r="L815" s="10"/>
      <c r="M815" s="10"/>
      <c r="N815" s="10"/>
    </row>
    <row r="816" ht="13.5" customHeight="1">
      <c r="J816" s="10"/>
      <c r="K816" s="10"/>
      <c r="L816" s="10"/>
      <c r="M816" s="10"/>
      <c r="N816" s="10"/>
    </row>
    <row r="817" ht="13.5" customHeight="1">
      <c r="J817" s="10"/>
      <c r="K817" s="10"/>
      <c r="L817" s="10"/>
      <c r="M817" s="10"/>
      <c r="N817" s="10"/>
    </row>
    <row r="818" ht="13.5" customHeight="1">
      <c r="J818" s="10"/>
      <c r="K818" s="10"/>
      <c r="L818" s="10"/>
      <c r="M818" s="10"/>
      <c r="N818" s="10"/>
    </row>
    <row r="819" ht="13.5" customHeight="1">
      <c r="J819" s="10"/>
      <c r="K819" s="10"/>
      <c r="L819" s="10"/>
      <c r="M819" s="10"/>
      <c r="N819" s="10"/>
    </row>
    <row r="820" ht="13.5" customHeight="1">
      <c r="J820" s="10"/>
      <c r="K820" s="10"/>
      <c r="L820" s="10"/>
      <c r="M820" s="10"/>
      <c r="N820" s="10"/>
    </row>
    <row r="821" ht="13.5" customHeight="1">
      <c r="J821" s="10"/>
      <c r="K821" s="10"/>
      <c r="L821" s="10"/>
      <c r="M821" s="10"/>
      <c r="N821" s="10"/>
    </row>
    <row r="822" ht="13.5" customHeight="1">
      <c r="J822" s="10"/>
      <c r="K822" s="10"/>
      <c r="L822" s="10"/>
      <c r="M822" s="10"/>
      <c r="N822" s="10"/>
    </row>
    <row r="823" ht="13.5" customHeight="1">
      <c r="J823" s="10"/>
      <c r="K823" s="10"/>
      <c r="L823" s="10"/>
      <c r="M823" s="10"/>
      <c r="N823" s="10"/>
    </row>
    <row r="824" ht="13.5" customHeight="1">
      <c r="J824" s="10"/>
      <c r="K824" s="10"/>
      <c r="L824" s="10"/>
      <c r="M824" s="10"/>
      <c r="N824" s="10"/>
    </row>
    <row r="825" ht="13.5" customHeight="1">
      <c r="J825" s="10"/>
      <c r="K825" s="10"/>
      <c r="L825" s="10"/>
      <c r="M825" s="10"/>
      <c r="N825" s="10"/>
    </row>
    <row r="826" ht="13.5" customHeight="1">
      <c r="J826" s="10"/>
      <c r="K826" s="10"/>
      <c r="L826" s="10"/>
      <c r="M826" s="10"/>
      <c r="N826" s="10"/>
    </row>
    <row r="827" ht="13.5" customHeight="1">
      <c r="J827" s="10"/>
      <c r="K827" s="10"/>
      <c r="L827" s="10"/>
      <c r="M827" s="10"/>
      <c r="N827" s="10"/>
    </row>
    <row r="828" ht="13.5" customHeight="1">
      <c r="J828" s="10"/>
      <c r="K828" s="10"/>
      <c r="L828" s="10"/>
      <c r="M828" s="10"/>
      <c r="N828" s="10"/>
    </row>
    <row r="829" ht="13.5" customHeight="1">
      <c r="J829" s="10"/>
      <c r="K829" s="10"/>
      <c r="L829" s="10"/>
      <c r="M829" s="10"/>
      <c r="N829" s="10"/>
    </row>
    <row r="830" ht="13.5" customHeight="1">
      <c r="J830" s="10"/>
      <c r="K830" s="10"/>
      <c r="L830" s="10"/>
      <c r="M830" s="10"/>
      <c r="N830" s="10"/>
    </row>
    <row r="831" ht="13.5" customHeight="1">
      <c r="J831" s="10"/>
      <c r="K831" s="10"/>
      <c r="L831" s="10"/>
      <c r="M831" s="10"/>
      <c r="N831" s="10"/>
    </row>
    <row r="832" ht="13.5" customHeight="1">
      <c r="J832" s="10"/>
      <c r="K832" s="10"/>
      <c r="L832" s="10"/>
      <c r="M832" s="10"/>
      <c r="N832" s="10"/>
    </row>
    <row r="833" ht="13.5" customHeight="1">
      <c r="J833" s="10"/>
      <c r="K833" s="10"/>
      <c r="L833" s="10"/>
      <c r="M833" s="10"/>
      <c r="N833" s="10"/>
    </row>
    <row r="834" ht="13.5" customHeight="1">
      <c r="J834" s="10"/>
      <c r="K834" s="10"/>
      <c r="L834" s="10"/>
      <c r="M834" s="10"/>
      <c r="N834" s="10"/>
    </row>
    <row r="835" ht="13.5" customHeight="1">
      <c r="J835" s="10"/>
      <c r="K835" s="10"/>
      <c r="L835" s="10"/>
      <c r="M835" s="10"/>
      <c r="N835" s="10"/>
    </row>
    <row r="836" ht="13.5" customHeight="1">
      <c r="J836" s="10"/>
      <c r="K836" s="10"/>
      <c r="L836" s="10"/>
      <c r="M836" s="10"/>
      <c r="N836" s="10"/>
    </row>
    <row r="837" ht="13.5" customHeight="1">
      <c r="J837" s="10"/>
      <c r="K837" s="10"/>
      <c r="L837" s="10"/>
      <c r="M837" s="10"/>
      <c r="N837" s="10"/>
    </row>
    <row r="838" ht="13.5" customHeight="1">
      <c r="J838" s="10"/>
      <c r="K838" s="10"/>
      <c r="L838" s="10"/>
      <c r="M838" s="10"/>
      <c r="N838" s="10"/>
    </row>
    <row r="839" ht="13.5" customHeight="1">
      <c r="J839" s="10"/>
      <c r="K839" s="10"/>
      <c r="L839" s="10"/>
      <c r="M839" s="10"/>
      <c r="N839" s="10"/>
    </row>
    <row r="840" ht="13.5" customHeight="1">
      <c r="J840" s="10"/>
      <c r="K840" s="10"/>
      <c r="L840" s="10"/>
      <c r="M840" s="10"/>
      <c r="N840" s="10"/>
    </row>
    <row r="841" ht="13.5" customHeight="1">
      <c r="J841" s="10"/>
      <c r="K841" s="10"/>
      <c r="L841" s="10"/>
      <c r="M841" s="10"/>
      <c r="N841" s="10"/>
    </row>
    <row r="842" ht="13.5" customHeight="1">
      <c r="J842" s="10"/>
      <c r="K842" s="10"/>
      <c r="L842" s="10"/>
      <c r="M842" s="10"/>
      <c r="N842" s="10"/>
    </row>
    <row r="843" ht="13.5" customHeight="1">
      <c r="J843" s="10"/>
      <c r="K843" s="10"/>
      <c r="L843" s="10"/>
      <c r="M843" s="10"/>
      <c r="N843" s="10"/>
    </row>
    <row r="844" ht="13.5" customHeight="1">
      <c r="J844" s="10"/>
      <c r="K844" s="10"/>
      <c r="L844" s="10"/>
      <c r="M844" s="10"/>
      <c r="N844" s="10"/>
    </row>
    <row r="845" ht="13.5" customHeight="1">
      <c r="J845" s="10"/>
      <c r="K845" s="10"/>
      <c r="L845" s="10"/>
      <c r="M845" s="10"/>
      <c r="N845" s="10"/>
    </row>
    <row r="846" ht="13.5" customHeight="1">
      <c r="J846" s="10"/>
      <c r="K846" s="10"/>
      <c r="L846" s="10"/>
      <c r="M846" s="10"/>
      <c r="N846" s="10"/>
    </row>
    <row r="847" ht="13.5" customHeight="1">
      <c r="J847" s="10"/>
      <c r="K847" s="10"/>
      <c r="L847" s="10"/>
      <c r="M847" s="10"/>
      <c r="N847" s="10"/>
    </row>
    <row r="848" ht="13.5" customHeight="1">
      <c r="J848" s="10"/>
      <c r="K848" s="10"/>
      <c r="L848" s="10"/>
      <c r="M848" s="10"/>
      <c r="N848" s="10"/>
    </row>
    <row r="849" ht="13.5" customHeight="1">
      <c r="J849" s="10"/>
      <c r="K849" s="10"/>
      <c r="L849" s="10"/>
      <c r="M849" s="10"/>
      <c r="N849" s="10"/>
    </row>
    <row r="850" ht="13.5" customHeight="1">
      <c r="J850" s="10"/>
      <c r="K850" s="10"/>
      <c r="L850" s="10"/>
      <c r="M850" s="10"/>
      <c r="N850" s="10"/>
    </row>
    <row r="851" ht="13.5" customHeight="1">
      <c r="J851" s="10"/>
      <c r="K851" s="10"/>
      <c r="L851" s="10"/>
      <c r="M851" s="10"/>
      <c r="N851" s="10"/>
    </row>
    <row r="852" ht="13.5" customHeight="1">
      <c r="J852" s="10"/>
      <c r="K852" s="10"/>
      <c r="L852" s="10"/>
      <c r="M852" s="10"/>
      <c r="N852" s="10"/>
    </row>
    <row r="853" ht="13.5" customHeight="1">
      <c r="J853" s="10"/>
      <c r="K853" s="10"/>
      <c r="L853" s="10"/>
      <c r="M853" s="10"/>
      <c r="N853" s="10"/>
    </row>
    <row r="854" ht="13.5" customHeight="1">
      <c r="J854" s="10"/>
      <c r="K854" s="10"/>
      <c r="L854" s="10"/>
      <c r="M854" s="10"/>
      <c r="N854" s="10"/>
    </row>
    <row r="855" ht="13.5" customHeight="1">
      <c r="J855" s="10"/>
      <c r="K855" s="10"/>
      <c r="L855" s="10"/>
      <c r="M855" s="10"/>
      <c r="N855" s="10"/>
    </row>
    <row r="856" ht="13.5" customHeight="1">
      <c r="J856" s="10"/>
      <c r="K856" s="10"/>
      <c r="L856" s="10"/>
      <c r="M856" s="10"/>
      <c r="N856" s="10"/>
    </row>
    <row r="857" ht="13.5" customHeight="1">
      <c r="J857" s="10"/>
      <c r="K857" s="10"/>
      <c r="L857" s="10"/>
      <c r="M857" s="10"/>
      <c r="N857" s="10"/>
    </row>
    <row r="858" ht="13.5" customHeight="1">
      <c r="J858" s="10"/>
      <c r="K858" s="10"/>
      <c r="L858" s="10"/>
      <c r="M858" s="10"/>
      <c r="N858" s="10"/>
    </row>
    <row r="859" ht="13.5" customHeight="1">
      <c r="J859" s="10"/>
      <c r="K859" s="10"/>
      <c r="L859" s="10"/>
      <c r="M859" s="10"/>
      <c r="N859" s="10"/>
    </row>
    <row r="860" ht="13.5" customHeight="1">
      <c r="J860" s="10"/>
      <c r="K860" s="10"/>
      <c r="L860" s="10"/>
      <c r="M860" s="10"/>
      <c r="N860" s="10"/>
    </row>
    <row r="861" ht="13.5" customHeight="1">
      <c r="J861" s="10"/>
      <c r="K861" s="10"/>
      <c r="L861" s="10"/>
      <c r="M861" s="10"/>
      <c r="N861" s="10"/>
    </row>
    <row r="862" ht="13.5" customHeight="1">
      <c r="J862" s="10"/>
      <c r="K862" s="10"/>
      <c r="L862" s="10"/>
      <c r="M862" s="10"/>
      <c r="N862" s="10"/>
    </row>
    <row r="863" ht="13.5" customHeight="1">
      <c r="J863" s="10"/>
      <c r="K863" s="10"/>
      <c r="L863" s="10"/>
      <c r="M863" s="10"/>
      <c r="N863" s="10"/>
    </row>
    <row r="864" ht="13.5" customHeight="1">
      <c r="J864" s="10"/>
      <c r="K864" s="10"/>
      <c r="L864" s="10"/>
      <c r="M864" s="10"/>
      <c r="N864" s="10"/>
    </row>
    <row r="865" ht="13.5" customHeight="1">
      <c r="J865" s="10"/>
      <c r="K865" s="10"/>
      <c r="L865" s="10"/>
      <c r="M865" s="10"/>
      <c r="N865" s="10"/>
    </row>
    <row r="866" ht="13.5" customHeight="1">
      <c r="J866" s="10"/>
      <c r="K866" s="10"/>
      <c r="L866" s="10"/>
      <c r="M866" s="10"/>
      <c r="N866" s="10"/>
    </row>
    <row r="867" ht="13.5" customHeight="1">
      <c r="J867" s="10"/>
      <c r="K867" s="10"/>
      <c r="L867" s="10"/>
      <c r="M867" s="10"/>
      <c r="N867" s="10"/>
    </row>
    <row r="868" ht="13.5" customHeight="1">
      <c r="J868" s="10"/>
      <c r="K868" s="10"/>
      <c r="L868" s="10"/>
      <c r="M868" s="10"/>
      <c r="N868" s="10"/>
    </row>
    <row r="869" ht="13.5" customHeight="1">
      <c r="J869" s="10"/>
      <c r="K869" s="10"/>
      <c r="L869" s="10"/>
      <c r="M869" s="10"/>
      <c r="N869" s="10"/>
    </row>
    <row r="870" ht="13.5" customHeight="1">
      <c r="J870" s="10"/>
      <c r="K870" s="10"/>
      <c r="L870" s="10"/>
      <c r="M870" s="10"/>
      <c r="N870" s="10"/>
    </row>
    <row r="871" ht="13.5" customHeight="1">
      <c r="J871" s="10"/>
      <c r="K871" s="10"/>
      <c r="L871" s="10"/>
      <c r="M871" s="10"/>
      <c r="N871" s="10"/>
    </row>
    <row r="872" ht="13.5" customHeight="1">
      <c r="J872" s="10"/>
      <c r="K872" s="10"/>
      <c r="L872" s="10"/>
      <c r="M872" s="10"/>
      <c r="N872" s="10"/>
    </row>
    <row r="873" ht="13.5" customHeight="1">
      <c r="J873" s="10"/>
      <c r="K873" s="10"/>
      <c r="L873" s="10"/>
      <c r="M873" s="10"/>
      <c r="N873" s="10"/>
    </row>
    <row r="874" ht="13.5" customHeight="1">
      <c r="J874" s="10"/>
      <c r="K874" s="10"/>
      <c r="L874" s="10"/>
      <c r="M874" s="10"/>
      <c r="N874" s="10"/>
    </row>
    <row r="875" ht="13.5" customHeight="1">
      <c r="J875" s="10"/>
      <c r="K875" s="10"/>
      <c r="L875" s="10"/>
      <c r="M875" s="10"/>
      <c r="N875" s="10"/>
    </row>
    <row r="876" ht="13.5" customHeight="1">
      <c r="J876" s="10"/>
      <c r="K876" s="10"/>
      <c r="L876" s="10"/>
      <c r="M876" s="10"/>
      <c r="N876" s="10"/>
    </row>
    <row r="877" ht="13.5" customHeight="1">
      <c r="J877" s="10"/>
      <c r="K877" s="10"/>
      <c r="L877" s="10"/>
      <c r="M877" s="10"/>
      <c r="N877" s="10"/>
    </row>
    <row r="878" ht="13.5" customHeight="1">
      <c r="J878" s="10"/>
      <c r="K878" s="10"/>
      <c r="L878" s="10"/>
      <c r="M878" s="10"/>
      <c r="N878" s="10"/>
    </row>
    <row r="879" ht="13.5" customHeight="1">
      <c r="J879" s="10"/>
      <c r="K879" s="10"/>
      <c r="L879" s="10"/>
      <c r="M879" s="10"/>
      <c r="N879" s="10"/>
    </row>
    <row r="880" ht="13.5" customHeight="1">
      <c r="J880" s="10"/>
      <c r="K880" s="10"/>
      <c r="L880" s="10"/>
      <c r="M880" s="10"/>
      <c r="N880" s="10"/>
    </row>
    <row r="881" ht="13.5" customHeight="1">
      <c r="J881" s="10"/>
      <c r="K881" s="10"/>
      <c r="L881" s="10"/>
      <c r="M881" s="10"/>
      <c r="N881" s="10"/>
    </row>
    <row r="882" ht="13.5" customHeight="1">
      <c r="J882" s="10"/>
      <c r="K882" s="10"/>
      <c r="L882" s="10"/>
      <c r="M882" s="10"/>
      <c r="N882" s="10"/>
    </row>
    <row r="883" ht="13.5" customHeight="1">
      <c r="J883" s="10"/>
      <c r="K883" s="10"/>
      <c r="L883" s="10"/>
      <c r="M883" s="10"/>
      <c r="N883" s="10"/>
    </row>
    <row r="884" ht="13.5" customHeight="1">
      <c r="J884" s="10"/>
      <c r="K884" s="10"/>
      <c r="L884" s="10"/>
      <c r="M884" s="10"/>
      <c r="N884" s="10"/>
    </row>
    <row r="885" ht="13.5" customHeight="1">
      <c r="J885" s="10"/>
      <c r="K885" s="10"/>
      <c r="L885" s="10"/>
      <c r="M885" s="10"/>
      <c r="N885" s="10"/>
    </row>
    <row r="886" ht="13.5" customHeight="1">
      <c r="J886" s="10"/>
      <c r="K886" s="10"/>
      <c r="L886" s="10"/>
      <c r="M886" s="10"/>
      <c r="N886" s="10"/>
    </row>
    <row r="887" ht="13.5" customHeight="1">
      <c r="J887" s="10"/>
      <c r="K887" s="10"/>
      <c r="L887" s="10"/>
      <c r="M887" s="10"/>
      <c r="N887" s="10"/>
    </row>
    <row r="888" ht="13.5" customHeight="1">
      <c r="J888" s="10"/>
      <c r="K888" s="10"/>
      <c r="L888" s="10"/>
      <c r="M888" s="10"/>
      <c r="N888" s="10"/>
    </row>
    <row r="889" ht="13.5" customHeight="1">
      <c r="J889" s="10"/>
      <c r="K889" s="10"/>
      <c r="L889" s="10"/>
      <c r="M889" s="10"/>
      <c r="N889" s="10"/>
    </row>
    <row r="890" ht="13.5" customHeight="1">
      <c r="J890" s="10"/>
      <c r="K890" s="10"/>
      <c r="L890" s="10"/>
      <c r="M890" s="10"/>
      <c r="N890" s="10"/>
    </row>
    <row r="891" ht="13.5" customHeight="1">
      <c r="J891" s="10"/>
      <c r="K891" s="10"/>
      <c r="L891" s="10"/>
      <c r="M891" s="10"/>
      <c r="N891" s="10"/>
    </row>
    <row r="892" ht="13.5" customHeight="1">
      <c r="J892" s="10"/>
      <c r="K892" s="10"/>
      <c r="L892" s="10"/>
      <c r="M892" s="10"/>
      <c r="N892" s="10"/>
    </row>
    <row r="893" ht="13.5" customHeight="1">
      <c r="J893" s="10"/>
      <c r="K893" s="10"/>
      <c r="L893" s="10"/>
      <c r="M893" s="10"/>
      <c r="N893" s="10"/>
    </row>
    <row r="894" ht="13.5" customHeight="1">
      <c r="J894" s="10"/>
      <c r="K894" s="10"/>
      <c r="L894" s="10"/>
      <c r="M894" s="10"/>
      <c r="N894" s="10"/>
    </row>
    <row r="895" ht="13.5" customHeight="1">
      <c r="J895" s="10"/>
      <c r="K895" s="10"/>
      <c r="L895" s="10"/>
      <c r="M895" s="10"/>
      <c r="N895" s="10"/>
    </row>
    <row r="896" ht="13.5" customHeight="1">
      <c r="J896" s="10"/>
      <c r="K896" s="10"/>
      <c r="L896" s="10"/>
      <c r="M896" s="10"/>
      <c r="N896" s="10"/>
    </row>
    <row r="897" ht="13.5" customHeight="1">
      <c r="J897" s="10"/>
      <c r="K897" s="10"/>
      <c r="L897" s="10"/>
      <c r="M897" s="10"/>
      <c r="N897" s="10"/>
    </row>
    <row r="898" ht="13.5" customHeight="1">
      <c r="J898" s="10"/>
      <c r="K898" s="10"/>
      <c r="L898" s="10"/>
      <c r="M898" s="10"/>
      <c r="N898" s="10"/>
    </row>
    <row r="899" ht="13.5" customHeight="1">
      <c r="J899" s="10"/>
      <c r="K899" s="10"/>
      <c r="L899" s="10"/>
      <c r="M899" s="10"/>
      <c r="N899" s="10"/>
    </row>
    <row r="900" ht="13.5" customHeight="1">
      <c r="J900" s="10"/>
      <c r="K900" s="10"/>
      <c r="L900" s="10"/>
      <c r="M900" s="10"/>
      <c r="N900" s="10"/>
    </row>
    <row r="901" ht="13.5" customHeight="1">
      <c r="J901" s="10"/>
      <c r="K901" s="10"/>
      <c r="L901" s="10"/>
      <c r="M901" s="10"/>
      <c r="N901" s="10"/>
    </row>
    <row r="902" ht="13.5" customHeight="1">
      <c r="J902" s="10"/>
      <c r="K902" s="10"/>
      <c r="L902" s="10"/>
      <c r="M902" s="10"/>
      <c r="N902" s="10"/>
    </row>
    <row r="903" ht="13.5" customHeight="1">
      <c r="J903" s="10"/>
      <c r="K903" s="10"/>
      <c r="L903" s="10"/>
      <c r="M903" s="10"/>
      <c r="N903" s="10"/>
    </row>
    <row r="904" ht="13.5" customHeight="1">
      <c r="J904" s="10"/>
      <c r="K904" s="10"/>
      <c r="L904" s="10"/>
      <c r="M904" s="10"/>
      <c r="N904" s="10"/>
    </row>
    <row r="905" ht="13.5" customHeight="1">
      <c r="J905" s="10"/>
      <c r="K905" s="10"/>
      <c r="L905" s="10"/>
      <c r="M905" s="10"/>
      <c r="N905" s="10"/>
    </row>
    <row r="906" ht="13.5" customHeight="1">
      <c r="J906" s="10"/>
      <c r="K906" s="10"/>
      <c r="L906" s="10"/>
      <c r="M906" s="10"/>
      <c r="N906" s="10"/>
    </row>
    <row r="907" ht="13.5" customHeight="1">
      <c r="J907" s="10"/>
      <c r="K907" s="10"/>
      <c r="L907" s="10"/>
      <c r="M907" s="10"/>
      <c r="N907" s="10"/>
    </row>
    <row r="908" ht="13.5" customHeight="1">
      <c r="J908" s="10"/>
      <c r="K908" s="10"/>
      <c r="L908" s="10"/>
      <c r="M908" s="10"/>
      <c r="N908" s="10"/>
    </row>
    <row r="909" ht="13.5" customHeight="1">
      <c r="J909" s="10"/>
      <c r="K909" s="10"/>
      <c r="L909" s="10"/>
      <c r="M909" s="10"/>
      <c r="N909" s="10"/>
    </row>
    <row r="910" ht="13.5" customHeight="1">
      <c r="J910" s="10"/>
      <c r="K910" s="10"/>
      <c r="L910" s="10"/>
      <c r="M910" s="10"/>
      <c r="N910" s="10"/>
    </row>
    <row r="911" ht="13.5" customHeight="1">
      <c r="J911" s="10"/>
      <c r="K911" s="10"/>
      <c r="L911" s="10"/>
      <c r="M911" s="10"/>
      <c r="N911" s="10"/>
    </row>
    <row r="912" ht="13.5" customHeight="1">
      <c r="J912" s="10"/>
      <c r="K912" s="10"/>
      <c r="L912" s="10"/>
      <c r="M912" s="10"/>
      <c r="N912" s="10"/>
    </row>
    <row r="913" ht="13.5" customHeight="1">
      <c r="J913" s="10"/>
      <c r="K913" s="10"/>
      <c r="L913" s="10"/>
      <c r="M913" s="10"/>
      <c r="N913" s="10"/>
    </row>
    <row r="914" ht="13.5" customHeight="1">
      <c r="J914" s="10"/>
      <c r="K914" s="10"/>
      <c r="L914" s="10"/>
      <c r="M914" s="10"/>
      <c r="N914" s="10"/>
    </row>
    <row r="915" ht="13.5" customHeight="1">
      <c r="J915" s="10"/>
      <c r="K915" s="10"/>
      <c r="L915" s="10"/>
      <c r="M915" s="10"/>
      <c r="N915" s="10"/>
    </row>
    <row r="916" ht="13.5" customHeight="1">
      <c r="J916" s="10"/>
      <c r="K916" s="10"/>
      <c r="L916" s="10"/>
      <c r="M916" s="10"/>
      <c r="N916" s="10"/>
    </row>
    <row r="917" ht="13.5" customHeight="1">
      <c r="J917" s="10"/>
      <c r="K917" s="10"/>
      <c r="L917" s="10"/>
      <c r="M917" s="10"/>
      <c r="N917" s="10"/>
    </row>
    <row r="918" ht="13.5" customHeight="1">
      <c r="J918" s="10"/>
      <c r="K918" s="10"/>
      <c r="L918" s="10"/>
      <c r="M918" s="10"/>
      <c r="N918" s="10"/>
    </row>
    <row r="919" ht="13.5" customHeight="1">
      <c r="J919" s="10"/>
      <c r="K919" s="10"/>
      <c r="L919" s="10"/>
      <c r="M919" s="10"/>
      <c r="N919" s="10"/>
    </row>
    <row r="920" ht="13.5" customHeight="1">
      <c r="J920" s="10"/>
      <c r="K920" s="10"/>
      <c r="L920" s="10"/>
      <c r="M920" s="10"/>
      <c r="N920" s="10"/>
    </row>
    <row r="921" ht="13.5" customHeight="1">
      <c r="J921" s="10"/>
      <c r="K921" s="10"/>
      <c r="L921" s="10"/>
      <c r="M921" s="10"/>
      <c r="N921" s="10"/>
    </row>
    <row r="922" ht="13.5" customHeight="1">
      <c r="J922" s="10"/>
      <c r="K922" s="10"/>
      <c r="L922" s="10"/>
      <c r="M922" s="10"/>
      <c r="N922" s="10"/>
    </row>
    <row r="923" ht="13.5" customHeight="1">
      <c r="J923" s="10"/>
      <c r="K923" s="10"/>
      <c r="L923" s="10"/>
      <c r="M923" s="10"/>
      <c r="N923" s="10"/>
    </row>
    <row r="924" ht="13.5" customHeight="1">
      <c r="J924" s="10"/>
      <c r="K924" s="10"/>
      <c r="L924" s="10"/>
      <c r="M924" s="10"/>
      <c r="N924" s="10"/>
    </row>
    <row r="925" ht="13.5" customHeight="1">
      <c r="J925" s="10"/>
      <c r="K925" s="10"/>
      <c r="L925" s="10"/>
      <c r="M925" s="10"/>
      <c r="N925" s="10"/>
    </row>
    <row r="926" ht="13.5" customHeight="1">
      <c r="J926" s="10"/>
      <c r="K926" s="10"/>
      <c r="L926" s="10"/>
      <c r="M926" s="10"/>
      <c r="N926" s="10"/>
    </row>
    <row r="927" ht="13.5" customHeight="1">
      <c r="J927" s="10"/>
      <c r="K927" s="10"/>
      <c r="L927" s="10"/>
      <c r="M927" s="10"/>
      <c r="N927" s="10"/>
    </row>
    <row r="928" ht="13.5" customHeight="1">
      <c r="J928" s="10"/>
      <c r="K928" s="10"/>
      <c r="L928" s="10"/>
      <c r="M928" s="10"/>
      <c r="N928" s="10"/>
    </row>
    <row r="929" ht="13.5" customHeight="1">
      <c r="J929" s="10"/>
      <c r="K929" s="10"/>
      <c r="L929" s="10"/>
      <c r="M929" s="10"/>
      <c r="N929" s="10"/>
    </row>
    <row r="930" ht="13.5" customHeight="1">
      <c r="J930" s="10"/>
      <c r="K930" s="10"/>
      <c r="L930" s="10"/>
      <c r="M930" s="10"/>
      <c r="N930" s="10"/>
    </row>
    <row r="931" ht="13.5" customHeight="1">
      <c r="J931" s="10"/>
      <c r="K931" s="10"/>
      <c r="L931" s="10"/>
      <c r="M931" s="10"/>
      <c r="N931" s="10"/>
    </row>
    <row r="932" ht="13.5" customHeight="1">
      <c r="J932" s="10"/>
      <c r="K932" s="10"/>
      <c r="L932" s="10"/>
      <c r="M932" s="10"/>
      <c r="N932" s="10"/>
    </row>
    <row r="933" ht="13.5" customHeight="1">
      <c r="J933" s="10"/>
      <c r="K933" s="10"/>
      <c r="L933" s="10"/>
      <c r="M933" s="10"/>
      <c r="N933" s="10"/>
    </row>
    <row r="934" ht="13.5" customHeight="1">
      <c r="J934" s="10"/>
      <c r="K934" s="10"/>
      <c r="L934" s="10"/>
      <c r="M934" s="10"/>
      <c r="N934" s="10"/>
    </row>
    <row r="935" ht="13.5" customHeight="1">
      <c r="J935" s="10"/>
      <c r="K935" s="10"/>
      <c r="L935" s="10"/>
      <c r="M935" s="10"/>
      <c r="N935" s="10"/>
    </row>
    <row r="936" ht="13.5" customHeight="1">
      <c r="J936" s="10"/>
      <c r="K936" s="10"/>
      <c r="L936" s="10"/>
      <c r="M936" s="10"/>
      <c r="N936" s="10"/>
    </row>
    <row r="937" ht="13.5" customHeight="1">
      <c r="J937" s="10"/>
      <c r="K937" s="10"/>
      <c r="L937" s="10"/>
      <c r="M937" s="10"/>
      <c r="N937" s="10"/>
    </row>
    <row r="938" ht="13.5" customHeight="1">
      <c r="J938" s="10"/>
      <c r="K938" s="10"/>
      <c r="L938" s="10"/>
      <c r="M938" s="10"/>
      <c r="N938" s="10"/>
    </row>
    <row r="939" ht="13.5" customHeight="1">
      <c r="J939" s="10"/>
      <c r="K939" s="10"/>
      <c r="L939" s="10"/>
      <c r="M939" s="10"/>
      <c r="N939" s="10"/>
    </row>
    <row r="940" ht="13.5" customHeight="1">
      <c r="J940" s="10"/>
      <c r="K940" s="10"/>
      <c r="L940" s="10"/>
      <c r="M940" s="10"/>
      <c r="N940" s="10"/>
    </row>
    <row r="941" ht="13.5" customHeight="1">
      <c r="J941" s="10"/>
      <c r="K941" s="10"/>
      <c r="L941" s="10"/>
      <c r="M941" s="10"/>
      <c r="N941" s="10"/>
    </row>
    <row r="942" ht="13.5" customHeight="1">
      <c r="J942" s="10"/>
      <c r="K942" s="10"/>
      <c r="L942" s="10"/>
      <c r="M942" s="10"/>
      <c r="N942" s="10"/>
    </row>
    <row r="943" ht="13.5" customHeight="1">
      <c r="J943" s="10"/>
      <c r="K943" s="10"/>
      <c r="L943" s="10"/>
      <c r="M943" s="10"/>
      <c r="N943" s="10"/>
    </row>
    <row r="944" ht="13.5" customHeight="1">
      <c r="J944" s="10"/>
      <c r="K944" s="10"/>
      <c r="L944" s="10"/>
      <c r="M944" s="10"/>
      <c r="N944" s="10"/>
    </row>
    <row r="945" ht="13.5" customHeight="1">
      <c r="J945" s="10"/>
      <c r="K945" s="10"/>
      <c r="L945" s="10"/>
      <c r="M945" s="10"/>
      <c r="N945" s="10"/>
    </row>
    <row r="946" ht="13.5" customHeight="1">
      <c r="J946" s="10"/>
      <c r="K946" s="10"/>
      <c r="L946" s="10"/>
      <c r="M946" s="10"/>
      <c r="N946" s="10"/>
    </row>
    <row r="947" ht="13.5" customHeight="1">
      <c r="J947" s="10"/>
      <c r="K947" s="10"/>
      <c r="L947" s="10"/>
      <c r="M947" s="10"/>
      <c r="N947" s="10"/>
    </row>
    <row r="948" ht="13.5" customHeight="1">
      <c r="J948" s="10"/>
      <c r="K948" s="10"/>
      <c r="L948" s="10"/>
      <c r="M948" s="10"/>
      <c r="N948" s="10"/>
    </row>
    <row r="949" ht="13.5" customHeight="1">
      <c r="J949" s="10"/>
      <c r="K949" s="10"/>
      <c r="L949" s="10"/>
      <c r="M949" s="10"/>
      <c r="N949" s="10"/>
    </row>
    <row r="950" ht="13.5" customHeight="1">
      <c r="J950" s="10"/>
      <c r="K950" s="10"/>
      <c r="L950" s="10"/>
      <c r="M950" s="10"/>
      <c r="N950" s="10"/>
    </row>
    <row r="951" ht="13.5" customHeight="1">
      <c r="J951" s="10"/>
      <c r="K951" s="10"/>
      <c r="L951" s="10"/>
      <c r="M951" s="10"/>
      <c r="N951" s="10"/>
    </row>
    <row r="952" ht="13.5" customHeight="1">
      <c r="J952" s="10"/>
      <c r="K952" s="10"/>
      <c r="L952" s="10"/>
      <c r="M952" s="10"/>
      <c r="N952" s="10"/>
    </row>
    <row r="953" ht="13.5" customHeight="1">
      <c r="J953" s="10"/>
      <c r="K953" s="10"/>
      <c r="L953" s="10"/>
      <c r="M953" s="10"/>
      <c r="N953" s="10"/>
    </row>
    <row r="954" ht="13.5" customHeight="1">
      <c r="J954" s="10"/>
      <c r="K954" s="10"/>
      <c r="L954" s="10"/>
      <c r="M954" s="10"/>
      <c r="N954" s="10"/>
    </row>
    <row r="955" ht="13.5" customHeight="1">
      <c r="J955" s="10"/>
      <c r="K955" s="10"/>
      <c r="L955" s="10"/>
      <c r="M955" s="10"/>
      <c r="N955" s="10"/>
    </row>
    <row r="956" ht="13.5" customHeight="1">
      <c r="J956" s="10"/>
      <c r="K956" s="10"/>
      <c r="L956" s="10"/>
      <c r="M956" s="10"/>
      <c r="N956" s="10"/>
    </row>
    <row r="957" ht="13.5" customHeight="1">
      <c r="J957" s="10"/>
      <c r="K957" s="10"/>
      <c r="L957" s="10"/>
      <c r="M957" s="10"/>
      <c r="N957" s="10"/>
    </row>
    <row r="958" ht="13.5" customHeight="1">
      <c r="J958" s="10"/>
      <c r="K958" s="10"/>
      <c r="L958" s="10"/>
      <c r="M958" s="10"/>
      <c r="N958" s="10"/>
    </row>
    <row r="959" ht="13.5" customHeight="1">
      <c r="J959" s="10"/>
      <c r="K959" s="10"/>
      <c r="L959" s="10"/>
      <c r="M959" s="10"/>
      <c r="N959" s="10"/>
    </row>
    <row r="960" ht="13.5" customHeight="1">
      <c r="J960" s="10"/>
      <c r="K960" s="10"/>
      <c r="L960" s="10"/>
      <c r="M960" s="10"/>
      <c r="N960" s="10"/>
    </row>
    <row r="961" ht="13.5" customHeight="1">
      <c r="J961" s="10"/>
      <c r="K961" s="10"/>
      <c r="L961" s="10"/>
      <c r="M961" s="10"/>
      <c r="N961" s="10"/>
    </row>
    <row r="962" ht="13.5" customHeight="1">
      <c r="J962" s="10"/>
      <c r="K962" s="10"/>
      <c r="L962" s="10"/>
      <c r="M962" s="10"/>
      <c r="N962" s="10"/>
    </row>
    <row r="963" ht="13.5" customHeight="1">
      <c r="J963" s="10"/>
      <c r="K963" s="10"/>
      <c r="L963" s="10"/>
      <c r="M963" s="10"/>
      <c r="N963" s="10"/>
    </row>
    <row r="964" ht="13.5" customHeight="1">
      <c r="J964" s="10"/>
      <c r="K964" s="10"/>
      <c r="L964" s="10"/>
      <c r="M964" s="10"/>
      <c r="N964" s="10"/>
    </row>
    <row r="965" ht="13.5" customHeight="1">
      <c r="J965" s="10"/>
      <c r="K965" s="10"/>
      <c r="L965" s="10"/>
      <c r="M965" s="10"/>
      <c r="N965" s="10"/>
    </row>
    <row r="966" ht="13.5" customHeight="1">
      <c r="J966" s="10"/>
      <c r="K966" s="10"/>
      <c r="L966" s="10"/>
      <c r="M966" s="10"/>
      <c r="N966" s="10"/>
    </row>
    <row r="967" ht="13.5" customHeight="1">
      <c r="J967" s="10"/>
      <c r="K967" s="10"/>
      <c r="L967" s="10"/>
      <c r="M967" s="10"/>
      <c r="N967" s="10"/>
    </row>
    <row r="968" ht="13.5" customHeight="1">
      <c r="J968" s="10"/>
      <c r="K968" s="10"/>
      <c r="L968" s="10"/>
      <c r="M968" s="10"/>
      <c r="N968" s="10"/>
    </row>
    <row r="969" ht="13.5" customHeight="1">
      <c r="J969" s="10"/>
      <c r="K969" s="10"/>
      <c r="L969" s="10"/>
      <c r="M969" s="10"/>
      <c r="N969" s="10"/>
    </row>
    <row r="970" ht="13.5" customHeight="1">
      <c r="J970" s="10"/>
      <c r="K970" s="10"/>
      <c r="L970" s="10"/>
      <c r="M970" s="10"/>
      <c r="N970" s="10"/>
    </row>
    <row r="971" ht="13.5" customHeight="1">
      <c r="J971" s="10"/>
      <c r="K971" s="10"/>
      <c r="L971" s="10"/>
      <c r="M971" s="10"/>
      <c r="N971" s="10"/>
    </row>
    <row r="972" ht="13.5" customHeight="1">
      <c r="J972" s="10"/>
      <c r="K972" s="10"/>
      <c r="L972" s="10"/>
      <c r="M972" s="10"/>
      <c r="N972" s="10"/>
    </row>
    <row r="973" ht="13.5" customHeight="1">
      <c r="J973" s="10"/>
      <c r="K973" s="10"/>
      <c r="L973" s="10"/>
      <c r="M973" s="10"/>
      <c r="N973" s="10"/>
    </row>
    <row r="974" ht="13.5" customHeight="1">
      <c r="J974" s="10"/>
      <c r="K974" s="10"/>
      <c r="L974" s="10"/>
      <c r="M974" s="10"/>
      <c r="N974" s="10"/>
    </row>
    <row r="975" ht="13.5" customHeight="1">
      <c r="J975" s="10"/>
      <c r="K975" s="10"/>
      <c r="L975" s="10"/>
      <c r="M975" s="10"/>
      <c r="N975" s="10"/>
    </row>
    <row r="976" ht="13.5" customHeight="1">
      <c r="J976" s="10"/>
      <c r="K976" s="10"/>
      <c r="L976" s="10"/>
      <c r="M976" s="10"/>
      <c r="N976" s="10"/>
    </row>
    <row r="977" ht="13.5" customHeight="1">
      <c r="J977" s="10"/>
      <c r="K977" s="10"/>
      <c r="L977" s="10"/>
      <c r="M977" s="10"/>
      <c r="N977" s="10"/>
    </row>
    <row r="978" ht="13.5" customHeight="1">
      <c r="J978" s="10"/>
      <c r="K978" s="10"/>
      <c r="L978" s="10"/>
      <c r="M978" s="10"/>
      <c r="N978" s="10"/>
    </row>
    <row r="979" ht="13.5" customHeight="1">
      <c r="J979" s="10"/>
      <c r="K979" s="10"/>
      <c r="L979" s="10"/>
      <c r="M979" s="10"/>
      <c r="N979" s="10"/>
    </row>
    <row r="980" ht="13.5" customHeight="1">
      <c r="J980" s="10"/>
      <c r="K980" s="10"/>
      <c r="L980" s="10"/>
      <c r="M980" s="10"/>
      <c r="N980" s="10"/>
    </row>
    <row r="981" ht="13.5" customHeight="1">
      <c r="J981" s="10"/>
      <c r="K981" s="10"/>
      <c r="L981" s="10"/>
      <c r="M981" s="10"/>
      <c r="N981" s="10"/>
    </row>
    <row r="982" ht="13.5" customHeight="1">
      <c r="J982" s="10"/>
      <c r="K982" s="10"/>
      <c r="L982" s="10"/>
      <c r="M982" s="10"/>
      <c r="N982" s="10"/>
    </row>
    <row r="983" ht="13.5" customHeight="1">
      <c r="J983" s="10"/>
      <c r="K983" s="10"/>
      <c r="L983" s="10"/>
      <c r="M983" s="10"/>
      <c r="N983" s="10"/>
    </row>
    <row r="984" ht="13.5" customHeight="1">
      <c r="J984" s="10"/>
      <c r="K984" s="10"/>
      <c r="L984" s="10"/>
      <c r="M984" s="10"/>
      <c r="N984" s="10"/>
    </row>
    <row r="985" ht="13.5" customHeight="1">
      <c r="J985" s="10"/>
      <c r="K985" s="10"/>
      <c r="L985" s="10"/>
      <c r="M985" s="10"/>
      <c r="N985" s="10"/>
    </row>
    <row r="986" ht="13.5" customHeight="1">
      <c r="J986" s="10"/>
      <c r="K986" s="10"/>
      <c r="L986" s="10"/>
      <c r="M986" s="10"/>
      <c r="N986" s="10"/>
    </row>
    <row r="987" ht="13.5" customHeight="1">
      <c r="J987" s="10"/>
      <c r="K987" s="10"/>
      <c r="L987" s="10"/>
      <c r="M987" s="10"/>
      <c r="N987" s="10"/>
    </row>
    <row r="988" ht="13.5" customHeight="1">
      <c r="J988" s="10"/>
      <c r="K988" s="10"/>
      <c r="L988" s="10"/>
      <c r="M988" s="10"/>
      <c r="N988" s="10"/>
    </row>
    <row r="989" ht="13.5" customHeight="1">
      <c r="J989" s="10"/>
      <c r="K989" s="10"/>
      <c r="L989" s="10"/>
      <c r="M989" s="10"/>
      <c r="N989" s="10"/>
    </row>
    <row r="990" ht="13.5" customHeight="1">
      <c r="J990" s="10"/>
      <c r="K990" s="10"/>
      <c r="L990" s="10"/>
      <c r="M990" s="10"/>
      <c r="N990" s="10"/>
    </row>
    <row r="991" ht="13.5" customHeight="1">
      <c r="J991" s="10"/>
      <c r="K991" s="10"/>
      <c r="L991" s="10"/>
      <c r="M991" s="10"/>
      <c r="N991" s="10"/>
    </row>
    <row r="992" ht="13.5" customHeight="1">
      <c r="J992" s="10"/>
      <c r="K992" s="10"/>
      <c r="L992" s="10"/>
      <c r="M992" s="10"/>
      <c r="N992" s="10"/>
    </row>
    <row r="993" ht="13.5" customHeight="1">
      <c r="J993" s="10"/>
      <c r="K993" s="10"/>
      <c r="L993" s="10"/>
      <c r="M993" s="10"/>
      <c r="N993" s="10"/>
    </row>
    <row r="994" ht="13.5" customHeight="1">
      <c r="J994" s="10"/>
      <c r="K994" s="10"/>
      <c r="L994" s="10"/>
      <c r="M994" s="10"/>
      <c r="N994" s="10"/>
    </row>
    <row r="995" ht="13.5" customHeight="1">
      <c r="J995" s="10"/>
      <c r="K995" s="10"/>
      <c r="L995" s="10"/>
      <c r="M995" s="10"/>
      <c r="N995" s="10"/>
    </row>
    <row r="996" ht="13.5" customHeight="1">
      <c r="J996" s="10"/>
      <c r="K996" s="10"/>
      <c r="L996" s="10"/>
      <c r="M996" s="10"/>
      <c r="N996" s="10"/>
    </row>
    <row r="997" ht="13.5" customHeight="1">
      <c r="J997" s="10"/>
      <c r="K997" s="10"/>
      <c r="L997" s="10"/>
      <c r="M997" s="10"/>
      <c r="N997" s="10"/>
    </row>
    <row r="998" ht="13.5" customHeight="1">
      <c r="J998" s="10"/>
      <c r="K998" s="10"/>
      <c r="L998" s="10"/>
      <c r="M998" s="10"/>
      <c r="N998" s="10"/>
    </row>
    <row r="999" ht="13.5" customHeight="1">
      <c r="J999" s="10"/>
      <c r="K999" s="10"/>
      <c r="L999" s="10"/>
      <c r="M999" s="10"/>
      <c r="N999" s="10"/>
    </row>
    <row r="1000" ht="13.5" customHeight="1">
      <c r="J1000" s="10"/>
      <c r="K1000" s="10"/>
      <c r="L1000" s="10"/>
      <c r="M1000" s="10"/>
      <c r="N1000" s="10"/>
    </row>
  </sheetData>
  <mergeCells count="21">
    <mergeCell ref="B2:B5"/>
    <mergeCell ref="B6:B7"/>
    <mergeCell ref="B9:B10"/>
    <mergeCell ref="B11:B12"/>
    <mergeCell ref="B14:B15"/>
    <mergeCell ref="G17:G18"/>
    <mergeCell ref="L17:L18"/>
    <mergeCell ref="B42:B44"/>
    <mergeCell ref="B45:B46"/>
    <mergeCell ref="B50:B52"/>
    <mergeCell ref="B55:B56"/>
    <mergeCell ref="B57:B59"/>
    <mergeCell ref="B62:B63"/>
    <mergeCell ref="B65:B67"/>
    <mergeCell ref="B17:B18"/>
    <mergeCell ref="B22:B23"/>
    <mergeCell ref="B25:B26"/>
    <mergeCell ref="B28:B29"/>
    <mergeCell ref="B30:B31"/>
    <mergeCell ref="B34:B37"/>
    <mergeCell ref="B38:B39"/>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cp:coreProperties>
</file>